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adial\OneDrive\Escritorio\Studium\Excel for Business\Case Studies\Spend-Analysis-Strategic-Procurement\dashboard\"/>
    </mc:Choice>
  </mc:AlternateContent>
  <xr:revisionPtr revIDLastSave="0" documentId="8_{5160C29E-B40D-423F-B8E5-B6D4DB9A5D2F}" xr6:coauthVersionLast="47" xr6:coauthVersionMax="47" xr10:uidLastSave="{00000000-0000-0000-0000-000000000000}"/>
  <bookViews>
    <workbookView xWindow="-110" yWindow="-110" windowWidth="19420" windowHeight="11500" xr2:uid="{00000000-000D-0000-FFFF-FFFF00000000}"/>
  </bookViews>
  <sheets>
    <sheet name="Spend Analysis Dataset" sheetId="4" r:id="rId1"/>
    <sheet name="Pivot-Tables" sheetId="6" r:id="rId2"/>
  </sheets>
  <definedNames>
    <definedName name="ExternalData_2" localSheetId="0" hidden="1">'Spend Analysis Dataset'!$B$4:$J$504</definedName>
    <definedName name="_xlnm.Print_Area" localSheetId="1">'Pivot-Tables'!$A$1:$AU$83</definedName>
    <definedName name="Slicer_Buyer">#REF!</definedName>
    <definedName name="Slicer_Buyer1">#N/A</definedName>
  </definedNames>
  <calcPr calcId="191029"/>
  <customWorkbookViews>
    <customWorkbookView name="spend_analysis_dataset filter view" guid="{78122BD1-CDF0-4A93-8A77-D97601CBBEA1}" maximized="1" windowWidth="0" windowHeight="0" activeSheetId="0"/>
  </customWorkbookViews>
  <pivotCaches>
    <pivotCache cacheId="17"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ORBjhCakUhUKyACWLE9L2IcmicMc/W7kGDPUXSLppAM="/>
    </ext>
  </extLst>
</workbook>
</file>

<file path=xl/calcChain.xml><?xml version="1.0" encoding="utf-8"?>
<calcChain xmlns="http://schemas.openxmlformats.org/spreadsheetml/2006/main">
  <c r="E21" i="6" l="1"/>
  <c r="F21" i="6" s="1"/>
  <c r="E22" i="6" l="1"/>
  <c r="F22" i="6" s="1"/>
  <c r="E23" i="6" l="1"/>
  <c r="F23" i="6" s="1"/>
  <c r="E24" i="6" l="1"/>
  <c r="F24" i="6" s="1"/>
  <c r="E25" i="6" l="1"/>
  <c r="F25" i="6" s="1"/>
  <c r="E26" i="6" l="1"/>
  <c r="F26"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553F4C-D7C1-4978-AEFF-E88577EE849C}" keepAlive="1" name="Query - spend_analysis_dataset" description="Connection to the 'spend_analysis_dataset' query in the workbook." type="5" refreshedVersion="8" background="1" saveData="1">
    <dbPr connection="Provider=Microsoft.Mashup.OleDb.1;Data Source=$Workbook$;Location=spend_analysis_dataset;Extended Properties=&quot;&quot;" command="SELECT * FROM [spend_analysis_dataset]"/>
  </connection>
</connections>
</file>

<file path=xl/sharedStrings.xml><?xml version="1.0" encoding="utf-8"?>
<sst xmlns="http://schemas.openxmlformats.org/spreadsheetml/2006/main" count="2530" uniqueCount="556">
  <si>
    <t>TransactionID</t>
  </si>
  <si>
    <t>ItemName</t>
  </si>
  <si>
    <t>Category</t>
  </si>
  <si>
    <t>Quantity</t>
  </si>
  <si>
    <t>UnitPrice</t>
  </si>
  <si>
    <t>TotalCost</t>
  </si>
  <si>
    <t>PurchaseDate</t>
  </si>
  <si>
    <t>Supplier</t>
  </si>
  <si>
    <t>Buyer</t>
  </si>
  <si>
    <t>TXN001</t>
  </si>
  <si>
    <t>Desk Chair</t>
  </si>
  <si>
    <t>Furniture</t>
  </si>
  <si>
    <t>TechMart Inc.</t>
  </si>
  <si>
    <t>Kelly Joseph</t>
  </si>
  <si>
    <t>TXN002</t>
  </si>
  <si>
    <t>Stapler</t>
  </si>
  <si>
    <t>Office Supplies</t>
  </si>
  <si>
    <t>CloudSoft Corp.</t>
  </si>
  <si>
    <t>TXN003</t>
  </si>
  <si>
    <t>Annual Software License</t>
  </si>
  <si>
    <t>Software</t>
  </si>
  <si>
    <t>TXN004</t>
  </si>
  <si>
    <t>Notepad</t>
  </si>
  <si>
    <t>Stationery</t>
  </si>
  <si>
    <t>FurniWorks Ltd.</t>
  </si>
  <si>
    <t>Luis Holland</t>
  </si>
  <si>
    <t>TXN005</t>
  </si>
  <si>
    <t>Cynthia Jenkins</t>
  </si>
  <si>
    <t>TXN006</t>
  </si>
  <si>
    <t>Printer</t>
  </si>
  <si>
    <t>Electronics</t>
  </si>
  <si>
    <t>Stephanie Bennett</t>
  </si>
  <si>
    <t>TXN007</t>
  </si>
  <si>
    <t>OfficeSupplies Co.</t>
  </si>
  <si>
    <t>Todd James</t>
  </si>
  <si>
    <t>TXN008</t>
  </si>
  <si>
    <t>Aaron Hopkins</t>
  </si>
  <si>
    <t>TXN009</t>
  </si>
  <si>
    <t>Printer Ink</t>
  </si>
  <si>
    <t>Kevin Adams</t>
  </si>
  <si>
    <t>TXN010</t>
  </si>
  <si>
    <t>Whiteboard</t>
  </si>
  <si>
    <t>TXN011</t>
  </si>
  <si>
    <t>QuickDeliver Ltd.</t>
  </si>
  <si>
    <t>TXN012</t>
  </si>
  <si>
    <t>Walter Pena</t>
  </si>
  <si>
    <t>Grand Total</t>
  </si>
  <si>
    <t>TXN013</t>
  </si>
  <si>
    <t>Jasmine Mcgee</t>
  </si>
  <si>
    <t>TXN014</t>
  </si>
  <si>
    <t>Dawn Padilla</t>
  </si>
  <si>
    <t>TXN015</t>
  </si>
  <si>
    <t>TXN016</t>
  </si>
  <si>
    <t>Monitor</t>
  </si>
  <si>
    <t>TXN017</t>
  </si>
  <si>
    <t>Laptop Bag</t>
  </si>
  <si>
    <t>Accessories</t>
  </si>
  <si>
    <t>Amy Warner</t>
  </si>
  <si>
    <t>TXN018</t>
  </si>
  <si>
    <t>Lisa Parks</t>
  </si>
  <si>
    <t>TXN019</t>
  </si>
  <si>
    <t>Laptop</t>
  </si>
  <si>
    <t>TXN020</t>
  </si>
  <si>
    <t>TXN021</t>
  </si>
  <si>
    <t>TXN022</t>
  </si>
  <si>
    <t>Kayla Hanson</t>
  </si>
  <si>
    <t>TXN023</t>
  </si>
  <si>
    <t>TXN024</t>
  </si>
  <si>
    <t>TXN025</t>
  </si>
  <si>
    <t>TXN026</t>
  </si>
  <si>
    <t>Rebecca Bell</t>
  </si>
  <si>
    <t>TXN027</t>
  </si>
  <si>
    <t>TXN028</t>
  </si>
  <si>
    <t>TXN029</t>
  </si>
  <si>
    <t>TXN030</t>
  </si>
  <si>
    <t>TXN031</t>
  </si>
  <si>
    <t>TXN032</t>
  </si>
  <si>
    <t>TXN033</t>
  </si>
  <si>
    <t>TXN034</t>
  </si>
  <si>
    <t>TXN035</t>
  </si>
  <si>
    <t>Laura White</t>
  </si>
  <si>
    <t>TXN036</t>
  </si>
  <si>
    <t>TXN037</t>
  </si>
  <si>
    <t>TXN038</t>
  </si>
  <si>
    <t>Jessica Hodges</t>
  </si>
  <si>
    <t>TXN039</t>
  </si>
  <si>
    <t>Nicole Clay</t>
  </si>
  <si>
    <t>TXN040</t>
  </si>
  <si>
    <t>TXN041</t>
  </si>
  <si>
    <t>TXN042</t>
  </si>
  <si>
    <t>TXN043</t>
  </si>
  <si>
    <t>TXN044</t>
  </si>
  <si>
    <t>TXN045</t>
  </si>
  <si>
    <t>TXN046</t>
  </si>
  <si>
    <t>TXN047</t>
  </si>
  <si>
    <t>Noah Long</t>
  </si>
  <si>
    <t>TXN048</t>
  </si>
  <si>
    <t>Melissa Mckee</t>
  </si>
  <si>
    <t>TXN049</t>
  </si>
  <si>
    <t>TXN050</t>
  </si>
  <si>
    <t>TXN051</t>
  </si>
  <si>
    <t>TXN052</t>
  </si>
  <si>
    <t>TXN053</t>
  </si>
  <si>
    <t>TXN054</t>
  </si>
  <si>
    <t>TXN055</t>
  </si>
  <si>
    <t>TXN056</t>
  </si>
  <si>
    <t>TXN057</t>
  </si>
  <si>
    <t>TXN058</t>
  </si>
  <si>
    <t>TXN059</t>
  </si>
  <si>
    <t>TXN060</t>
  </si>
  <si>
    <t>TXN061</t>
  </si>
  <si>
    <t>TXN062</t>
  </si>
  <si>
    <t>TXN063</t>
  </si>
  <si>
    <t>TXN064</t>
  </si>
  <si>
    <t>TXN065</t>
  </si>
  <si>
    <t>TXN066</t>
  </si>
  <si>
    <t>TXN067</t>
  </si>
  <si>
    <t>TXN068</t>
  </si>
  <si>
    <t>TXN069</t>
  </si>
  <si>
    <t>TXN070</t>
  </si>
  <si>
    <t>TXN071</t>
  </si>
  <si>
    <t>TXN072</t>
  </si>
  <si>
    <t>TXN073</t>
  </si>
  <si>
    <t>TXN074</t>
  </si>
  <si>
    <t>TXN075</t>
  </si>
  <si>
    <t>TXN076</t>
  </si>
  <si>
    <t>TXN077</t>
  </si>
  <si>
    <t>TXN078</t>
  </si>
  <si>
    <t>TXN079</t>
  </si>
  <si>
    <t>TXN080</t>
  </si>
  <si>
    <t>TXN081</t>
  </si>
  <si>
    <t>TXN082</t>
  </si>
  <si>
    <t>TXN083</t>
  </si>
  <si>
    <t>TXN084</t>
  </si>
  <si>
    <t>Barry Johnson</t>
  </si>
  <si>
    <t>TXN085</t>
  </si>
  <si>
    <t>TXN086</t>
  </si>
  <si>
    <t>TXN087</t>
  </si>
  <si>
    <t>TXN088</t>
  </si>
  <si>
    <t>TXN089</t>
  </si>
  <si>
    <t>TXN090</t>
  </si>
  <si>
    <t>TXN091</t>
  </si>
  <si>
    <t>TXN092</t>
  </si>
  <si>
    <t>TXN093</t>
  </si>
  <si>
    <t>TXN094</t>
  </si>
  <si>
    <t>TXN095</t>
  </si>
  <si>
    <t>TXN096</t>
  </si>
  <si>
    <t>TXN097</t>
  </si>
  <si>
    <t>TXN098</t>
  </si>
  <si>
    <t>TXN099</t>
  </si>
  <si>
    <t>TXN100</t>
  </si>
  <si>
    <t>TXN101</t>
  </si>
  <si>
    <t>TXN102</t>
  </si>
  <si>
    <t>TXN103</t>
  </si>
  <si>
    <t>TXN104</t>
  </si>
  <si>
    <t>TXN105</t>
  </si>
  <si>
    <t>TXN106</t>
  </si>
  <si>
    <t>TXN107</t>
  </si>
  <si>
    <t>TXN108</t>
  </si>
  <si>
    <t>TXN109</t>
  </si>
  <si>
    <t>TXN110</t>
  </si>
  <si>
    <t>TXN111</t>
  </si>
  <si>
    <t>TXN112</t>
  </si>
  <si>
    <t>TXN113</t>
  </si>
  <si>
    <t>TXN114</t>
  </si>
  <si>
    <t>TXN115</t>
  </si>
  <si>
    <t>TXN116</t>
  </si>
  <si>
    <t>TXN117</t>
  </si>
  <si>
    <t>TXN118</t>
  </si>
  <si>
    <t>TXN119</t>
  </si>
  <si>
    <t>TXN120</t>
  </si>
  <si>
    <t>TXN121</t>
  </si>
  <si>
    <t>TXN122</t>
  </si>
  <si>
    <t>TXN123</t>
  </si>
  <si>
    <t>TXN124</t>
  </si>
  <si>
    <t>TXN125</t>
  </si>
  <si>
    <t>TXN126</t>
  </si>
  <si>
    <t>TXN127</t>
  </si>
  <si>
    <t>TXN128</t>
  </si>
  <si>
    <t>TXN129</t>
  </si>
  <si>
    <t>TXN130</t>
  </si>
  <si>
    <t>TXN131</t>
  </si>
  <si>
    <t>TXN132</t>
  </si>
  <si>
    <t>TXN133</t>
  </si>
  <si>
    <t>TXN134</t>
  </si>
  <si>
    <t>TXN135</t>
  </si>
  <si>
    <t>TXN136</t>
  </si>
  <si>
    <t>TXN137</t>
  </si>
  <si>
    <t>TXN138</t>
  </si>
  <si>
    <t>TXN139</t>
  </si>
  <si>
    <t>TXN140</t>
  </si>
  <si>
    <t>TXN141</t>
  </si>
  <si>
    <t>TXN142</t>
  </si>
  <si>
    <t>TXN143</t>
  </si>
  <si>
    <t>TXN144</t>
  </si>
  <si>
    <t>TXN145</t>
  </si>
  <si>
    <t>TXN146</t>
  </si>
  <si>
    <t>TXN147</t>
  </si>
  <si>
    <t>TXN148</t>
  </si>
  <si>
    <t>TXN149</t>
  </si>
  <si>
    <t>TXN150</t>
  </si>
  <si>
    <t>TXN151</t>
  </si>
  <si>
    <t>TXN152</t>
  </si>
  <si>
    <t>TXN153</t>
  </si>
  <si>
    <t>TXN154</t>
  </si>
  <si>
    <t>TXN155</t>
  </si>
  <si>
    <t>TXN156</t>
  </si>
  <si>
    <t>TXN157</t>
  </si>
  <si>
    <t>TXN158</t>
  </si>
  <si>
    <t>TXN159</t>
  </si>
  <si>
    <t>TXN160</t>
  </si>
  <si>
    <t>TXN161</t>
  </si>
  <si>
    <t>TXN162</t>
  </si>
  <si>
    <t>TXN163</t>
  </si>
  <si>
    <t>TXN164</t>
  </si>
  <si>
    <t>TXN165</t>
  </si>
  <si>
    <t>TXN166</t>
  </si>
  <si>
    <t>TXN167</t>
  </si>
  <si>
    <t>TXN168</t>
  </si>
  <si>
    <t>TXN169</t>
  </si>
  <si>
    <t>TXN170</t>
  </si>
  <si>
    <t>TXN171</t>
  </si>
  <si>
    <t>TXN172</t>
  </si>
  <si>
    <t>TXN173</t>
  </si>
  <si>
    <t>TXN174</t>
  </si>
  <si>
    <t>TXN175</t>
  </si>
  <si>
    <t>TXN176</t>
  </si>
  <si>
    <t>TXN177</t>
  </si>
  <si>
    <t>TXN178</t>
  </si>
  <si>
    <t>TXN179</t>
  </si>
  <si>
    <t>TXN180</t>
  </si>
  <si>
    <t>TXN181</t>
  </si>
  <si>
    <t>TXN182</t>
  </si>
  <si>
    <t>TXN183</t>
  </si>
  <si>
    <t>TXN184</t>
  </si>
  <si>
    <t>TXN185</t>
  </si>
  <si>
    <t>TXN186</t>
  </si>
  <si>
    <t>TXN187</t>
  </si>
  <si>
    <t>TXN188</t>
  </si>
  <si>
    <t>TXN189</t>
  </si>
  <si>
    <t>TXN190</t>
  </si>
  <si>
    <t>TXN191</t>
  </si>
  <si>
    <t>TXN192</t>
  </si>
  <si>
    <t>TXN193</t>
  </si>
  <si>
    <t>TXN194</t>
  </si>
  <si>
    <t>TXN195</t>
  </si>
  <si>
    <t>TXN196</t>
  </si>
  <si>
    <t>TXN197</t>
  </si>
  <si>
    <t>TXN198</t>
  </si>
  <si>
    <t>TXN199</t>
  </si>
  <si>
    <t>TXN200</t>
  </si>
  <si>
    <t>TXN201</t>
  </si>
  <si>
    <t>TXN202</t>
  </si>
  <si>
    <t>TXN203</t>
  </si>
  <si>
    <t>TXN204</t>
  </si>
  <si>
    <t>TXN205</t>
  </si>
  <si>
    <t>TXN206</t>
  </si>
  <si>
    <t>TXN207</t>
  </si>
  <si>
    <t>TXN208</t>
  </si>
  <si>
    <t>TXN209</t>
  </si>
  <si>
    <t>TXN210</t>
  </si>
  <si>
    <t>TXN211</t>
  </si>
  <si>
    <t>TXN212</t>
  </si>
  <si>
    <t>TXN213</t>
  </si>
  <si>
    <t>TXN214</t>
  </si>
  <si>
    <t>TXN215</t>
  </si>
  <si>
    <t>TXN216</t>
  </si>
  <si>
    <t>TXN217</t>
  </si>
  <si>
    <t>TXN218</t>
  </si>
  <si>
    <t>TXN219</t>
  </si>
  <si>
    <t>TXN220</t>
  </si>
  <si>
    <t>TXN221</t>
  </si>
  <si>
    <t>TXN222</t>
  </si>
  <si>
    <t>TXN223</t>
  </si>
  <si>
    <t>TXN224</t>
  </si>
  <si>
    <t>TXN225</t>
  </si>
  <si>
    <t>TXN226</t>
  </si>
  <si>
    <t>TXN227</t>
  </si>
  <si>
    <t>TXN228</t>
  </si>
  <si>
    <t>TXN229</t>
  </si>
  <si>
    <t>TXN230</t>
  </si>
  <si>
    <t>TXN231</t>
  </si>
  <si>
    <t>TXN232</t>
  </si>
  <si>
    <t>TXN233</t>
  </si>
  <si>
    <t>TXN234</t>
  </si>
  <si>
    <t>TXN235</t>
  </si>
  <si>
    <t>TXN236</t>
  </si>
  <si>
    <t>TXN237</t>
  </si>
  <si>
    <t>TXN238</t>
  </si>
  <si>
    <t>TXN239</t>
  </si>
  <si>
    <t>TXN240</t>
  </si>
  <si>
    <t>TXN241</t>
  </si>
  <si>
    <t>TXN242</t>
  </si>
  <si>
    <t>TXN243</t>
  </si>
  <si>
    <t>TXN244</t>
  </si>
  <si>
    <t>TXN245</t>
  </si>
  <si>
    <t>TXN246</t>
  </si>
  <si>
    <t>TXN247</t>
  </si>
  <si>
    <t>TXN248</t>
  </si>
  <si>
    <t>TXN249</t>
  </si>
  <si>
    <t>TXN250</t>
  </si>
  <si>
    <t>TXN251</t>
  </si>
  <si>
    <t>TXN252</t>
  </si>
  <si>
    <t>TXN253</t>
  </si>
  <si>
    <t>TXN254</t>
  </si>
  <si>
    <t>TXN255</t>
  </si>
  <si>
    <t>TXN256</t>
  </si>
  <si>
    <t>TXN257</t>
  </si>
  <si>
    <t>TXN258</t>
  </si>
  <si>
    <t>TXN259</t>
  </si>
  <si>
    <t>TXN260</t>
  </si>
  <si>
    <t>TXN261</t>
  </si>
  <si>
    <t>TXN262</t>
  </si>
  <si>
    <t>TXN263</t>
  </si>
  <si>
    <t>TXN264</t>
  </si>
  <si>
    <t>TXN265</t>
  </si>
  <si>
    <t>TXN266</t>
  </si>
  <si>
    <t>TXN267</t>
  </si>
  <si>
    <t>TXN268</t>
  </si>
  <si>
    <t>TXN269</t>
  </si>
  <si>
    <t>TXN270</t>
  </si>
  <si>
    <t>TXN271</t>
  </si>
  <si>
    <t>TXN272</t>
  </si>
  <si>
    <t>TXN273</t>
  </si>
  <si>
    <t>TXN274</t>
  </si>
  <si>
    <t>TXN275</t>
  </si>
  <si>
    <t>TXN276</t>
  </si>
  <si>
    <t>TXN277</t>
  </si>
  <si>
    <t>TXN278</t>
  </si>
  <si>
    <t>TXN279</t>
  </si>
  <si>
    <t>TXN280</t>
  </si>
  <si>
    <t>TXN281</t>
  </si>
  <si>
    <t>TXN282</t>
  </si>
  <si>
    <t>TXN283</t>
  </si>
  <si>
    <t>TXN284</t>
  </si>
  <si>
    <t>TXN285</t>
  </si>
  <si>
    <t>TXN286</t>
  </si>
  <si>
    <t>TXN287</t>
  </si>
  <si>
    <t>TXN288</t>
  </si>
  <si>
    <t>TXN289</t>
  </si>
  <si>
    <t>TXN290</t>
  </si>
  <si>
    <t>TXN291</t>
  </si>
  <si>
    <t>TXN292</t>
  </si>
  <si>
    <t>TXN293</t>
  </si>
  <si>
    <t>TXN294</t>
  </si>
  <si>
    <t>TXN295</t>
  </si>
  <si>
    <t>TXN296</t>
  </si>
  <si>
    <t>TXN297</t>
  </si>
  <si>
    <t>TXN298</t>
  </si>
  <si>
    <t>TXN299</t>
  </si>
  <si>
    <t>TXN300</t>
  </si>
  <si>
    <t>TXN301</t>
  </si>
  <si>
    <t>TXN302</t>
  </si>
  <si>
    <t>TXN303</t>
  </si>
  <si>
    <t>TXN304</t>
  </si>
  <si>
    <t>TXN305</t>
  </si>
  <si>
    <t>TXN306</t>
  </si>
  <si>
    <t>TXN307</t>
  </si>
  <si>
    <t>TXN308</t>
  </si>
  <si>
    <t>TXN309</t>
  </si>
  <si>
    <t>TXN310</t>
  </si>
  <si>
    <t>TXN311</t>
  </si>
  <si>
    <t>TXN312</t>
  </si>
  <si>
    <t>TXN313</t>
  </si>
  <si>
    <t>TXN314</t>
  </si>
  <si>
    <t>TXN315</t>
  </si>
  <si>
    <t>TXN316</t>
  </si>
  <si>
    <t>TXN317</t>
  </si>
  <si>
    <t>TXN318</t>
  </si>
  <si>
    <t>TXN319</t>
  </si>
  <si>
    <t>TXN320</t>
  </si>
  <si>
    <t>TXN321</t>
  </si>
  <si>
    <t>TXN322</t>
  </si>
  <si>
    <t>TXN323</t>
  </si>
  <si>
    <t>TXN324</t>
  </si>
  <si>
    <t>TXN325</t>
  </si>
  <si>
    <t>TXN326</t>
  </si>
  <si>
    <t>TXN327</t>
  </si>
  <si>
    <t>TXN328</t>
  </si>
  <si>
    <t>TXN329</t>
  </si>
  <si>
    <t>TXN330</t>
  </si>
  <si>
    <t>TXN331</t>
  </si>
  <si>
    <t>TXN332</t>
  </si>
  <si>
    <t>TXN333</t>
  </si>
  <si>
    <t>TXN334</t>
  </si>
  <si>
    <t>TXN335</t>
  </si>
  <si>
    <t>TXN336</t>
  </si>
  <si>
    <t>TXN337</t>
  </si>
  <si>
    <t>TXN338</t>
  </si>
  <si>
    <t>TXN339</t>
  </si>
  <si>
    <t>TXN340</t>
  </si>
  <si>
    <t>TXN341</t>
  </si>
  <si>
    <t>TXN342</t>
  </si>
  <si>
    <t>TXN343</t>
  </si>
  <si>
    <t>TXN344</t>
  </si>
  <si>
    <t>TXN345</t>
  </si>
  <si>
    <t>TXN346</t>
  </si>
  <si>
    <t>TXN347</t>
  </si>
  <si>
    <t>TXN348</t>
  </si>
  <si>
    <t>TXN349</t>
  </si>
  <si>
    <t>TXN350</t>
  </si>
  <si>
    <t>TXN351</t>
  </si>
  <si>
    <t>TXN352</t>
  </si>
  <si>
    <t>TXN353</t>
  </si>
  <si>
    <t>TXN354</t>
  </si>
  <si>
    <t>TXN355</t>
  </si>
  <si>
    <t>TXN356</t>
  </si>
  <si>
    <t>TXN357</t>
  </si>
  <si>
    <t>TXN358</t>
  </si>
  <si>
    <t>TXN359</t>
  </si>
  <si>
    <t>TXN360</t>
  </si>
  <si>
    <t>TXN361</t>
  </si>
  <si>
    <t>TXN362</t>
  </si>
  <si>
    <t>TXN363</t>
  </si>
  <si>
    <t>TXN364</t>
  </si>
  <si>
    <t>TXN365</t>
  </si>
  <si>
    <t>TXN366</t>
  </si>
  <si>
    <t>TXN367</t>
  </si>
  <si>
    <t>TXN368</t>
  </si>
  <si>
    <t>TXN369</t>
  </si>
  <si>
    <t>TXN370</t>
  </si>
  <si>
    <t>TXN371</t>
  </si>
  <si>
    <t>TXN372</t>
  </si>
  <si>
    <t>TXN373</t>
  </si>
  <si>
    <t>TXN374</t>
  </si>
  <si>
    <t>TXN375</t>
  </si>
  <si>
    <t>TXN376</t>
  </si>
  <si>
    <t>TXN377</t>
  </si>
  <si>
    <t>TXN378</t>
  </si>
  <si>
    <t>TXN379</t>
  </si>
  <si>
    <t>TXN380</t>
  </si>
  <si>
    <t>TXN381</t>
  </si>
  <si>
    <t>TXN382</t>
  </si>
  <si>
    <t>TXN383</t>
  </si>
  <si>
    <t>TXN384</t>
  </si>
  <si>
    <t>TXN385</t>
  </si>
  <si>
    <t>TXN386</t>
  </si>
  <si>
    <t>TXN387</t>
  </si>
  <si>
    <t>TXN388</t>
  </si>
  <si>
    <t>TXN389</t>
  </si>
  <si>
    <t>TXN390</t>
  </si>
  <si>
    <t>TXN391</t>
  </si>
  <si>
    <t>TXN392</t>
  </si>
  <si>
    <t>TXN393</t>
  </si>
  <si>
    <t>TXN394</t>
  </si>
  <si>
    <t>TXN395</t>
  </si>
  <si>
    <t>TXN396</t>
  </si>
  <si>
    <t>TXN397</t>
  </si>
  <si>
    <t>TXN398</t>
  </si>
  <si>
    <t>TXN399</t>
  </si>
  <si>
    <t>TXN400</t>
  </si>
  <si>
    <t>TXN401</t>
  </si>
  <si>
    <t>TXN402</t>
  </si>
  <si>
    <t>TXN403</t>
  </si>
  <si>
    <t>TXN404</t>
  </si>
  <si>
    <t>TXN405</t>
  </si>
  <si>
    <t>TXN406</t>
  </si>
  <si>
    <t>TXN407</t>
  </si>
  <si>
    <t>TXN408</t>
  </si>
  <si>
    <t>TXN409</t>
  </si>
  <si>
    <t>TXN410</t>
  </si>
  <si>
    <t>TXN411</t>
  </si>
  <si>
    <t>TXN412</t>
  </si>
  <si>
    <t>TXN413</t>
  </si>
  <si>
    <t>TXN414</t>
  </si>
  <si>
    <t>TXN415</t>
  </si>
  <si>
    <t>TXN416</t>
  </si>
  <si>
    <t>TXN417</t>
  </si>
  <si>
    <t>TXN418</t>
  </si>
  <si>
    <t>TXN419</t>
  </si>
  <si>
    <t>TXN420</t>
  </si>
  <si>
    <t>TXN421</t>
  </si>
  <si>
    <t>TXN422</t>
  </si>
  <si>
    <t>TXN423</t>
  </si>
  <si>
    <t>TXN424</t>
  </si>
  <si>
    <t>TXN425</t>
  </si>
  <si>
    <t>TXN426</t>
  </si>
  <si>
    <t>TXN427</t>
  </si>
  <si>
    <t>TXN428</t>
  </si>
  <si>
    <t>TXN429</t>
  </si>
  <si>
    <t>TXN430</t>
  </si>
  <si>
    <t>TXN431</t>
  </si>
  <si>
    <t>TXN432</t>
  </si>
  <si>
    <t>TXN433</t>
  </si>
  <si>
    <t>TXN434</t>
  </si>
  <si>
    <t>TXN435</t>
  </si>
  <si>
    <t>TXN436</t>
  </si>
  <si>
    <t>TXN437</t>
  </si>
  <si>
    <t>TXN438</t>
  </si>
  <si>
    <t>TXN439</t>
  </si>
  <si>
    <t>TXN440</t>
  </si>
  <si>
    <t>TXN441</t>
  </si>
  <si>
    <t>TXN442</t>
  </si>
  <si>
    <t>TXN443</t>
  </si>
  <si>
    <t>TXN444</t>
  </si>
  <si>
    <t>TXN445</t>
  </si>
  <si>
    <t>TXN446</t>
  </si>
  <si>
    <t>TXN447</t>
  </si>
  <si>
    <t>TXN448</t>
  </si>
  <si>
    <t>TXN449</t>
  </si>
  <si>
    <t>TXN450</t>
  </si>
  <si>
    <t>TXN451</t>
  </si>
  <si>
    <t>TXN452</t>
  </si>
  <si>
    <t>TXN453</t>
  </si>
  <si>
    <t>TXN454</t>
  </si>
  <si>
    <t>TXN455</t>
  </si>
  <si>
    <t>TXN456</t>
  </si>
  <si>
    <t>TXN457</t>
  </si>
  <si>
    <t>TXN458</t>
  </si>
  <si>
    <t>TXN459</t>
  </si>
  <si>
    <t>TXN460</t>
  </si>
  <si>
    <t>TXN461</t>
  </si>
  <si>
    <t>TXN462</t>
  </si>
  <si>
    <t>TXN463</t>
  </si>
  <si>
    <t>TXN464</t>
  </si>
  <si>
    <t>TXN465</t>
  </si>
  <si>
    <t>TXN466</t>
  </si>
  <si>
    <t>TXN467</t>
  </si>
  <si>
    <t>TXN468</t>
  </si>
  <si>
    <t>TXN469</t>
  </si>
  <si>
    <t>TXN470</t>
  </si>
  <si>
    <t>TXN471</t>
  </si>
  <si>
    <t>TXN472</t>
  </si>
  <si>
    <t>TXN473</t>
  </si>
  <si>
    <t>TXN474</t>
  </si>
  <si>
    <t>TXN475</t>
  </si>
  <si>
    <t>TXN476</t>
  </si>
  <si>
    <t>TXN477</t>
  </si>
  <si>
    <t>TXN478</t>
  </si>
  <si>
    <t>TXN479</t>
  </si>
  <si>
    <t>TXN480</t>
  </si>
  <si>
    <t>TXN481</t>
  </si>
  <si>
    <t>TXN482</t>
  </si>
  <si>
    <t>TXN483</t>
  </si>
  <si>
    <t>TXN484</t>
  </si>
  <si>
    <t>TXN485</t>
  </si>
  <si>
    <t>TXN486</t>
  </si>
  <si>
    <t>TXN487</t>
  </si>
  <si>
    <t>TXN488</t>
  </si>
  <si>
    <t>TXN489</t>
  </si>
  <si>
    <t>TXN490</t>
  </si>
  <si>
    <t>TXN491</t>
  </si>
  <si>
    <t>TXN492</t>
  </si>
  <si>
    <t>TXN493</t>
  </si>
  <si>
    <t>TXN494</t>
  </si>
  <si>
    <t>TXN495</t>
  </si>
  <si>
    <t>TXN496</t>
  </si>
  <si>
    <t>TXN497</t>
  </si>
  <si>
    <t>TXN498</t>
  </si>
  <si>
    <t>TXN499</t>
  </si>
  <si>
    <t>TXN500</t>
  </si>
  <si>
    <t>Row Labels</t>
  </si>
  <si>
    <t>Sum of TotalCost</t>
  </si>
  <si>
    <t>% Grand Total</t>
  </si>
  <si>
    <t xml:space="preserve">% Cummulative </t>
  </si>
  <si>
    <t>ABC-Category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</si>
</sst>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0.00\ &quot;€&quot;"/>
  </numFmts>
  <fonts count="3" x14ac:knownFonts="1">
    <font>
      <sz val="11"/>
      <color theme="1"/>
      <name val="Aptos Narrow"/>
      <scheme val="minor"/>
    </font>
    <font>
      <sz val="11"/>
      <color theme="1"/>
      <name val="Aptos Narrow"/>
      <family val="2"/>
      <scheme val="minor"/>
    </font>
    <font>
      <sz val="11"/>
      <color theme="0"/>
      <name val="Aptos Narrow"/>
      <family val="2"/>
      <scheme val="minor"/>
    </font>
  </fonts>
  <fills count="4">
    <fill>
      <patternFill patternType="none"/>
    </fill>
    <fill>
      <patternFill patternType="gray125"/>
    </fill>
    <fill>
      <patternFill patternType="solid">
        <fgColor theme="1"/>
        <bgColor theme="1"/>
      </patternFill>
    </fill>
    <fill>
      <patternFill patternType="solid">
        <fgColor theme="0" tint="-4.9989318521683403E-2"/>
        <bgColor theme="0" tint="-4.9989318521683403E-2"/>
      </patternFill>
    </fill>
  </fills>
  <borders count="2">
    <border>
      <left/>
      <right/>
      <top/>
      <bottom/>
      <diagonal/>
    </border>
    <border>
      <left style="thin">
        <color theme="0" tint="-0.14999847407452621"/>
      </left>
      <right style="thin">
        <color theme="0" tint="-0.14999847407452621"/>
      </right>
      <top/>
      <bottom/>
      <diagonal/>
    </border>
  </borders>
  <cellStyleXfs count="1">
    <xf numFmtId="0" fontId="0" fillId="0" borderId="0"/>
  </cellStyleXfs>
  <cellXfs count="11">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65" fontId="0" fillId="0" borderId="0" xfId="0" applyNumberFormat="1"/>
    <xf numFmtId="10" fontId="1" fillId="3" borderId="1" xfId="0" applyNumberFormat="1" applyFont="1" applyFill="1" applyBorder="1"/>
    <xf numFmtId="10" fontId="2" fillId="2" borderId="0" xfId="0" applyNumberFormat="1" applyFont="1" applyFill="1" applyBorder="1"/>
    <xf numFmtId="0" fontId="2" fillId="2" borderId="0" xfId="0" applyFont="1" applyFill="1" applyBorder="1" applyAlignment="1">
      <alignment horizontal="center"/>
    </xf>
    <xf numFmtId="0" fontId="2" fillId="2" borderId="0" xfId="0" applyFont="1" applyFill="1" applyBorder="1" applyAlignment="1">
      <alignment horizontal="center" vertical="center"/>
    </xf>
    <xf numFmtId="10" fontId="1" fillId="3" borderId="1" xfId="0" applyNumberFormat="1" applyFont="1" applyFill="1" applyBorder="1" applyAlignment="1">
      <alignment horizontal="center"/>
    </xf>
  </cellXfs>
  <cellStyles count="1">
    <cellStyle name="Normal" xfId="0" builtinId="0"/>
  </cellStyles>
  <dxfs count="13">
    <dxf>
      <fill>
        <patternFill>
          <bgColor rgb="FF92D050"/>
        </patternFill>
      </fill>
    </dxf>
    <dxf>
      <fill>
        <patternFill>
          <bgColor rgb="FFFFFF00"/>
        </patternFill>
      </fill>
    </dxf>
    <dxf>
      <fill>
        <patternFill>
          <bgColor rgb="FFFF0000"/>
        </patternFill>
      </fill>
    </dxf>
    <dxf>
      <numFmt numFmtId="0" formatCode="General"/>
    </dxf>
    <dxf>
      <numFmt numFmtId="0" formatCode="General"/>
    </dxf>
    <dxf>
      <numFmt numFmtId="19" formatCode="dd/mm/yyyy"/>
    </dxf>
    <dxf>
      <numFmt numFmtId="0" formatCode="General"/>
    </dxf>
    <dxf>
      <numFmt numFmtId="0" formatCode="General"/>
    </dxf>
    <dxf>
      <numFmt numFmtId="0" formatCode="General"/>
    </dxf>
    <dxf>
      <border>
        <left style="thin">
          <color theme="9"/>
        </left>
        <right style="thin">
          <color theme="9"/>
        </right>
        <top style="thin">
          <color theme="9"/>
        </top>
        <bottom style="thin">
          <color theme="9"/>
        </bottom>
        <vertical style="thin">
          <color rgb="FFD4D4D4"/>
        </vertical>
        <horizontal style="thin">
          <color rgb="FFD4D4D4"/>
        </horizontal>
      </border>
    </dxf>
    <dxf>
      <fill>
        <patternFill patternType="solid">
          <fgColor theme="0"/>
          <bgColor theme="0"/>
        </patternFill>
      </fill>
    </dxf>
    <dxf>
      <fill>
        <patternFill patternType="solid">
          <fgColor rgb="FFD9F2D0"/>
          <bgColor rgb="FFD9F2D0"/>
        </patternFill>
      </fill>
    </dxf>
    <dxf>
      <fill>
        <patternFill patternType="solid">
          <fgColor theme="9"/>
          <bgColor theme="9"/>
        </patternFill>
      </fill>
    </dxf>
  </dxfs>
  <tableStyles count="1">
    <tableStyle name="Spend Analysis Dataset -style" pivot="0" count="4" xr9:uid="{00000000-0011-0000-FFFF-FFFF00000000}">
      <tableStyleElement type="wholeTable" size="0" dxfId="9"/>
      <tableStyleElement type="headerRow" dxfId="12"/>
      <tableStyleElement type="firstRowStripe" dxfId="11"/>
      <tableStyleElement type="secondRowStripe" dxfId="1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pivotCacheDefinition" Target="pivotCache/pivotCacheDefinition1.xml"/><Relationship Id="rId7" Type="http://customschemas.google.com/relationships/workbookmetadata" Target="metadata"/><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[Spend_Analysis_Dashboard.xlsx]Pivot-Tables!PivotTable2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Purchases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'Pivot-Tables'!$B$4:$B$10</c:f>
              <c:strCache>
                <c:ptCount val="6"/>
                <c:pt idx="0">
                  <c:v>Electronics</c:v>
                </c:pt>
                <c:pt idx="1">
                  <c:v>Software</c:v>
                </c:pt>
                <c:pt idx="2">
                  <c:v>Furniture</c:v>
                </c:pt>
                <c:pt idx="3">
                  <c:v>Accessories</c:v>
                </c:pt>
                <c:pt idx="4">
                  <c:v>Stationery</c:v>
                </c:pt>
                <c:pt idx="5">
                  <c:v>Office Supplies</c:v>
                </c:pt>
              </c:strCache>
            </c:strRef>
          </c:cat>
          <c:val>
            <c:numRef>
              <c:f>'Pivot-Tables'!$C$4:$C$10</c:f>
              <c:numCache>
                <c:formatCode>#,##0.00\ "€"</c:formatCode>
                <c:ptCount val="6"/>
                <c:pt idx="0">
                  <c:v>53434138</c:v>
                </c:pt>
                <c:pt idx="1">
                  <c:v>30659997</c:v>
                </c:pt>
                <c:pt idx="2">
                  <c:v>12084703</c:v>
                </c:pt>
                <c:pt idx="3">
                  <c:v>1493596</c:v>
                </c:pt>
                <c:pt idx="4">
                  <c:v>519186</c:v>
                </c:pt>
                <c:pt idx="5">
                  <c:v>501616</c:v>
                </c:pt>
              </c:numCache>
            </c:numRef>
          </c:val>
          <c:extLst>
            <c:ext xmlns:c16="http://schemas.microsoft.com/office/drawing/2014/chart" uri="{C3380CC4-5D6E-409C-BE32-E72D297353CC}">
              <c16:uniqueId val="{00000002-5B7F-4F72-98E4-A03EADC93CCB}"/>
            </c:ext>
          </c:extLst>
        </c:ser>
        <c:dLbls>
          <c:showLegendKey val="0"/>
          <c:showVal val="0"/>
          <c:showCatName val="0"/>
          <c:showSerName val="0"/>
          <c:showPercent val="0"/>
          <c:showBubbleSize val="0"/>
        </c:dLbls>
        <c:gapWidth val="100"/>
        <c:overlap val="-24"/>
        <c:axId val="1579234352"/>
        <c:axId val="470523120"/>
      </c:barChart>
      <c:catAx>
        <c:axId val="15792343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de-DE"/>
          </a:p>
        </c:txPr>
        <c:crossAx val="470523120"/>
        <c:crosses val="autoZero"/>
        <c:auto val="1"/>
        <c:lblAlgn val="ctr"/>
        <c:lblOffset val="100"/>
        <c:noMultiLvlLbl val="0"/>
      </c:catAx>
      <c:valAx>
        <c:axId val="470523120"/>
        <c:scaling>
          <c:orientation val="minMax"/>
        </c:scaling>
        <c:delete val="0"/>
        <c:axPos val="l"/>
        <c:majorGridlines>
          <c:spPr>
            <a:ln w="9525" cap="flat" cmpd="sng" algn="ctr">
              <a:solidFill>
                <a:schemeClr val="lt1">
                  <a:lumMod val="95000"/>
                  <a:alpha val="10000"/>
                </a:schemeClr>
              </a:solidFill>
              <a:round/>
            </a:ln>
            <a:effectLst/>
          </c:spPr>
        </c:majorGridlines>
        <c:numFmt formatCode="#,##0.0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de-DE"/>
          </a:p>
        </c:txPr>
        <c:crossAx val="157923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0</xdr:colOff>
      <xdr:row>2</xdr:row>
      <xdr:rowOff>2988</xdr:rowOff>
    </xdr:from>
    <xdr:to>
      <xdr:col>9</xdr:col>
      <xdr:colOff>398743</xdr:colOff>
      <xdr:row>17</xdr:row>
      <xdr:rowOff>15688</xdr:rowOff>
    </xdr:to>
    <xdr:graphicFrame macro="">
      <xdr:nvGraphicFramePr>
        <xdr:cNvPr id="2" name="Chart 1">
          <a:extLst>
            <a:ext uri="{FF2B5EF4-FFF2-40B4-BE49-F238E27FC236}">
              <a16:creationId xmlns:a16="http://schemas.microsoft.com/office/drawing/2014/main" id="{8964BAD8-53B0-BABD-1525-BC4306BA34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2</xdr:row>
      <xdr:rowOff>2988</xdr:rowOff>
    </xdr:from>
    <xdr:to>
      <xdr:col>13</xdr:col>
      <xdr:colOff>2</xdr:colOff>
      <xdr:row>17</xdr:row>
      <xdr:rowOff>0</xdr:rowOff>
    </xdr:to>
    <mc:AlternateContent xmlns:mc="http://schemas.openxmlformats.org/markup-compatibility/2006">
      <mc:Choice xmlns:a14="http://schemas.microsoft.com/office/drawing/2010/main" Requires="a14">
        <xdr:graphicFrame macro="">
          <xdr:nvGraphicFramePr>
            <xdr:cNvPr id="3" name="Buyer">
              <a:extLst>
                <a:ext uri="{FF2B5EF4-FFF2-40B4-BE49-F238E27FC236}">
                  <a16:creationId xmlns:a16="http://schemas.microsoft.com/office/drawing/2014/main" id="{CA73E2C9-B4FF-0C44-83DE-E344D49D95DE}"/>
                </a:ext>
              </a:extLst>
            </xdr:cNvPr>
            <xdr:cNvGraphicFramePr/>
          </xdr:nvGraphicFramePr>
          <xdr:xfrm>
            <a:off x="0" y="0"/>
            <a:ext cx="0" cy="0"/>
          </xdr:xfrm>
          <a:graphic>
            <a:graphicData uri="http://schemas.microsoft.com/office/drawing/2010/slicer">
              <sle:slicer xmlns:sle="http://schemas.microsoft.com/office/drawing/2010/slicer" name="Buyer"/>
            </a:graphicData>
          </a:graphic>
        </xdr:graphicFrame>
      </mc:Choice>
      <mc:Fallback>
        <xdr:sp macro="" textlink="">
          <xdr:nvSpPr>
            <xdr:cNvPr id="0" name=""/>
            <xdr:cNvSpPr>
              <a:spLocks noTextEdit="1"/>
            </xdr:cNvSpPr>
          </xdr:nvSpPr>
          <xdr:spPr>
            <a:xfrm>
              <a:off x="8866188" y="368113"/>
              <a:ext cx="1833564" cy="2735450"/>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ahim Diallo" refreshedDate="46290.875210185186" createdVersion="8" refreshedVersion="8" minRefreshableVersion="3" recordCount="500" xr:uid="{DBCC87D1-269D-423B-9937-2A901BC3372A}">
  <cacheSource type="worksheet">
    <worksheetSource name="spend_analysis_dataset"/>
  </cacheSource>
  <cacheFields count="9">
    <cacheField name="TransactionID" numFmtId="0">
      <sharedItems count="500">
        <s v="TXN001"/>
        <s v="TXN002"/>
        <s v="TXN003"/>
        <s v="TXN004"/>
        <s v="TXN005"/>
        <s v="TXN006"/>
        <s v="TXN007"/>
        <s v="TXN008"/>
        <s v="TXN009"/>
        <s v="TXN010"/>
        <s v="TXN011"/>
        <s v="TXN012"/>
        <s v="TXN013"/>
        <s v="TXN014"/>
        <s v="TXN015"/>
        <s v="TXN016"/>
        <s v="TXN017"/>
        <s v="TXN018"/>
        <s v="TXN019"/>
        <s v="TXN020"/>
        <s v="TXN021"/>
        <s v="TXN022"/>
        <s v="TXN023"/>
        <s v="TXN024"/>
        <s v="TXN025"/>
        <s v="TXN026"/>
        <s v="TXN027"/>
        <s v="TXN028"/>
        <s v="TXN029"/>
        <s v="TXN030"/>
        <s v="TXN031"/>
        <s v="TXN032"/>
        <s v="TXN033"/>
        <s v="TXN034"/>
        <s v="TXN035"/>
        <s v="TXN036"/>
        <s v="TXN037"/>
        <s v="TXN038"/>
        <s v="TXN039"/>
        <s v="TXN040"/>
        <s v="TXN041"/>
        <s v="TXN042"/>
        <s v="TXN043"/>
        <s v="TXN044"/>
        <s v="TXN045"/>
        <s v="TXN046"/>
        <s v="TXN047"/>
        <s v="TXN048"/>
        <s v="TXN049"/>
        <s v="TXN050"/>
        <s v="TXN051"/>
        <s v="TXN052"/>
        <s v="TXN053"/>
        <s v="TXN054"/>
        <s v="TXN055"/>
        <s v="TXN056"/>
        <s v="TXN057"/>
        <s v="TXN058"/>
        <s v="TXN059"/>
        <s v="TXN060"/>
        <s v="TXN061"/>
        <s v="TXN062"/>
        <s v="TXN063"/>
        <s v="TXN064"/>
        <s v="TXN065"/>
        <s v="TXN066"/>
        <s v="TXN067"/>
        <s v="TXN068"/>
        <s v="TXN069"/>
        <s v="TXN070"/>
        <s v="TXN071"/>
        <s v="TXN072"/>
        <s v="TXN073"/>
        <s v="TXN074"/>
        <s v="TXN075"/>
        <s v="TXN076"/>
        <s v="TXN077"/>
        <s v="TXN078"/>
        <s v="TXN079"/>
        <s v="TXN080"/>
        <s v="TXN081"/>
        <s v="TXN082"/>
        <s v="TXN083"/>
        <s v="TXN084"/>
        <s v="TXN085"/>
        <s v="TXN086"/>
        <s v="TXN087"/>
        <s v="TXN088"/>
        <s v="TXN089"/>
        <s v="TXN090"/>
        <s v="TXN091"/>
        <s v="TXN092"/>
        <s v="TXN093"/>
        <s v="TXN094"/>
        <s v="TXN095"/>
        <s v="TXN096"/>
        <s v="TXN097"/>
        <s v="TXN098"/>
        <s v="TXN099"/>
        <s v="TXN100"/>
        <s v="TXN101"/>
        <s v="TXN102"/>
        <s v="TXN103"/>
        <s v="TXN104"/>
        <s v="TXN105"/>
        <s v="TXN106"/>
        <s v="TXN107"/>
        <s v="TXN108"/>
        <s v="TXN109"/>
        <s v="TXN110"/>
        <s v="TXN111"/>
        <s v="TXN112"/>
        <s v="TXN113"/>
        <s v="TXN114"/>
        <s v="TXN115"/>
        <s v="TXN116"/>
        <s v="TXN117"/>
        <s v="TXN118"/>
        <s v="TXN119"/>
        <s v="TXN120"/>
        <s v="TXN121"/>
        <s v="TXN122"/>
        <s v="TXN123"/>
        <s v="TXN124"/>
        <s v="TXN125"/>
        <s v="TXN126"/>
        <s v="TXN127"/>
        <s v="TXN128"/>
        <s v="TXN129"/>
        <s v="TXN130"/>
        <s v="TXN131"/>
        <s v="TXN132"/>
        <s v="TXN133"/>
        <s v="TXN134"/>
        <s v="TXN135"/>
        <s v="TXN136"/>
        <s v="TXN137"/>
        <s v="TXN138"/>
        <s v="TXN139"/>
        <s v="TXN140"/>
        <s v="TXN141"/>
        <s v="TXN142"/>
        <s v="TXN143"/>
        <s v="TXN144"/>
        <s v="TXN145"/>
        <s v="TXN146"/>
        <s v="TXN147"/>
        <s v="TXN148"/>
        <s v="TXN149"/>
        <s v="TXN150"/>
        <s v="TXN151"/>
        <s v="TXN152"/>
        <s v="TXN153"/>
        <s v="TXN154"/>
        <s v="TXN155"/>
        <s v="TXN156"/>
        <s v="TXN157"/>
        <s v="TXN158"/>
        <s v="TXN159"/>
        <s v="TXN160"/>
        <s v="TXN161"/>
        <s v="TXN162"/>
        <s v="TXN163"/>
        <s v="TXN164"/>
        <s v="TXN165"/>
        <s v="TXN166"/>
        <s v="TXN167"/>
        <s v="TXN168"/>
        <s v="TXN169"/>
        <s v="TXN170"/>
        <s v="TXN171"/>
        <s v="TXN172"/>
        <s v="TXN173"/>
        <s v="TXN174"/>
        <s v="TXN175"/>
        <s v="TXN176"/>
        <s v="TXN177"/>
        <s v="TXN178"/>
        <s v="TXN179"/>
        <s v="TXN180"/>
        <s v="TXN181"/>
        <s v="TXN182"/>
        <s v="TXN183"/>
        <s v="TXN184"/>
        <s v="TXN185"/>
        <s v="TXN186"/>
        <s v="TXN187"/>
        <s v="TXN188"/>
        <s v="TXN189"/>
        <s v="TXN190"/>
        <s v="TXN191"/>
        <s v="TXN192"/>
        <s v="TXN193"/>
        <s v="TXN194"/>
        <s v="TXN195"/>
        <s v="TXN196"/>
        <s v="TXN197"/>
        <s v="TXN198"/>
        <s v="TXN199"/>
        <s v="TXN200"/>
        <s v="TXN201"/>
        <s v="TXN202"/>
        <s v="TXN203"/>
        <s v="TXN204"/>
        <s v="TXN205"/>
        <s v="TXN206"/>
        <s v="TXN207"/>
        <s v="TXN208"/>
        <s v="TXN209"/>
        <s v="TXN210"/>
        <s v="TXN211"/>
        <s v="TXN212"/>
        <s v="TXN213"/>
        <s v="TXN214"/>
        <s v="TXN215"/>
        <s v="TXN216"/>
        <s v="TXN217"/>
        <s v="TXN218"/>
        <s v="TXN219"/>
        <s v="TXN220"/>
        <s v="TXN221"/>
        <s v="TXN222"/>
        <s v="TXN223"/>
        <s v="TXN224"/>
        <s v="TXN225"/>
        <s v="TXN226"/>
        <s v="TXN227"/>
        <s v="TXN228"/>
        <s v="TXN229"/>
        <s v="TXN230"/>
        <s v="TXN231"/>
        <s v="TXN232"/>
        <s v="TXN233"/>
        <s v="TXN234"/>
        <s v="TXN235"/>
        <s v="TXN236"/>
        <s v="TXN237"/>
        <s v="TXN238"/>
        <s v="TXN239"/>
        <s v="TXN240"/>
        <s v="TXN241"/>
        <s v="TXN242"/>
        <s v="TXN243"/>
        <s v="TXN244"/>
        <s v="TXN245"/>
        <s v="TXN246"/>
        <s v="TXN247"/>
        <s v="TXN248"/>
        <s v="TXN249"/>
        <s v="TXN250"/>
        <s v="TXN251"/>
        <s v="TXN252"/>
        <s v="TXN253"/>
        <s v="TXN254"/>
        <s v="TXN255"/>
        <s v="TXN256"/>
        <s v="TXN257"/>
        <s v="TXN258"/>
        <s v="TXN259"/>
        <s v="TXN260"/>
        <s v="TXN261"/>
        <s v="TXN262"/>
        <s v="TXN263"/>
        <s v="TXN264"/>
        <s v="TXN265"/>
        <s v="TXN266"/>
        <s v="TXN267"/>
        <s v="TXN268"/>
        <s v="TXN269"/>
        <s v="TXN270"/>
        <s v="TXN271"/>
        <s v="TXN272"/>
        <s v="TXN273"/>
        <s v="TXN274"/>
        <s v="TXN275"/>
        <s v="TXN276"/>
        <s v="TXN277"/>
        <s v="TXN278"/>
        <s v="TXN279"/>
        <s v="TXN280"/>
        <s v="TXN281"/>
        <s v="TXN282"/>
        <s v="TXN283"/>
        <s v="TXN284"/>
        <s v="TXN285"/>
        <s v="TXN286"/>
        <s v="TXN287"/>
        <s v="TXN288"/>
        <s v="TXN289"/>
        <s v="TXN290"/>
        <s v="TXN291"/>
        <s v="TXN292"/>
        <s v="TXN293"/>
        <s v="TXN294"/>
        <s v="TXN295"/>
        <s v="TXN296"/>
        <s v="TXN297"/>
        <s v="TXN298"/>
        <s v="TXN299"/>
        <s v="TXN300"/>
        <s v="TXN301"/>
        <s v="TXN302"/>
        <s v="TXN303"/>
        <s v="TXN304"/>
        <s v="TXN305"/>
        <s v="TXN306"/>
        <s v="TXN307"/>
        <s v="TXN308"/>
        <s v="TXN309"/>
        <s v="TXN310"/>
        <s v="TXN311"/>
        <s v="TXN312"/>
        <s v="TXN313"/>
        <s v="TXN314"/>
        <s v="TXN315"/>
        <s v="TXN316"/>
        <s v="TXN317"/>
        <s v="TXN318"/>
        <s v="TXN319"/>
        <s v="TXN320"/>
        <s v="TXN321"/>
        <s v="TXN322"/>
        <s v="TXN323"/>
        <s v="TXN324"/>
        <s v="TXN325"/>
        <s v="TXN326"/>
        <s v="TXN327"/>
        <s v="TXN328"/>
        <s v="TXN329"/>
        <s v="TXN330"/>
        <s v="TXN331"/>
        <s v="TXN332"/>
        <s v="TXN333"/>
        <s v="TXN334"/>
        <s v="TXN335"/>
        <s v="TXN336"/>
        <s v="TXN337"/>
        <s v="TXN338"/>
        <s v="TXN339"/>
        <s v="TXN340"/>
        <s v="TXN341"/>
        <s v="TXN342"/>
        <s v="TXN343"/>
        <s v="TXN344"/>
        <s v="TXN345"/>
        <s v="TXN346"/>
        <s v="TXN347"/>
        <s v="TXN348"/>
        <s v="TXN349"/>
        <s v="TXN350"/>
        <s v="TXN351"/>
        <s v="TXN352"/>
        <s v="TXN353"/>
        <s v="TXN354"/>
        <s v="TXN355"/>
        <s v="TXN356"/>
        <s v="TXN357"/>
        <s v="TXN358"/>
        <s v="TXN359"/>
        <s v="TXN360"/>
        <s v="TXN361"/>
        <s v="TXN362"/>
        <s v="TXN363"/>
        <s v="TXN364"/>
        <s v="TXN365"/>
        <s v="TXN366"/>
        <s v="TXN367"/>
        <s v="TXN368"/>
        <s v="TXN369"/>
        <s v="TXN370"/>
        <s v="TXN371"/>
        <s v="TXN372"/>
        <s v="TXN373"/>
        <s v="TXN374"/>
        <s v="TXN375"/>
        <s v="TXN376"/>
        <s v="TXN377"/>
        <s v="TXN378"/>
        <s v="TXN379"/>
        <s v="TXN380"/>
        <s v="TXN381"/>
        <s v="TXN382"/>
        <s v="TXN383"/>
        <s v="TXN384"/>
        <s v="TXN385"/>
        <s v="TXN386"/>
        <s v="TXN387"/>
        <s v="TXN388"/>
        <s v="TXN389"/>
        <s v="TXN390"/>
        <s v="TXN391"/>
        <s v="TXN392"/>
        <s v="TXN393"/>
        <s v="TXN394"/>
        <s v="TXN395"/>
        <s v="TXN396"/>
        <s v="TXN397"/>
        <s v="TXN398"/>
        <s v="TXN399"/>
        <s v="TXN400"/>
        <s v="TXN401"/>
        <s v="TXN402"/>
        <s v="TXN403"/>
        <s v="TXN404"/>
        <s v="TXN405"/>
        <s v="TXN406"/>
        <s v="TXN407"/>
        <s v="TXN408"/>
        <s v="TXN409"/>
        <s v="TXN410"/>
        <s v="TXN411"/>
        <s v="TXN412"/>
        <s v="TXN413"/>
        <s v="TXN414"/>
        <s v="TXN415"/>
        <s v="TXN416"/>
        <s v="TXN417"/>
        <s v="TXN418"/>
        <s v="TXN419"/>
        <s v="TXN420"/>
        <s v="TXN421"/>
        <s v="TXN422"/>
        <s v="TXN423"/>
        <s v="TXN424"/>
        <s v="TXN425"/>
        <s v="TXN426"/>
        <s v="TXN427"/>
        <s v="TXN428"/>
        <s v="TXN429"/>
        <s v="TXN430"/>
        <s v="TXN431"/>
        <s v="TXN432"/>
        <s v="TXN433"/>
        <s v="TXN434"/>
        <s v="TXN435"/>
        <s v="TXN436"/>
        <s v="TXN437"/>
        <s v="TXN438"/>
        <s v="TXN439"/>
        <s v="TXN440"/>
        <s v="TXN441"/>
        <s v="TXN442"/>
        <s v="TXN443"/>
        <s v="TXN444"/>
        <s v="TXN445"/>
        <s v="TXN446"/>
        <s v="TXN447"/>
        <s v="TXN448"/>
        <s v="TXN449"/>
        <s v="TXN450"/>
        <s v="TXN451"/>
        <s v="TXN452"/>
        <s v="TXN453"/>
        <s v="TXN454"/>
        <s v="TXN455"/>
        <s v="TXN456"/>
        <s v="TXN457"/>
        <s v="TXN458"/>
        <s v="TXN459"/>
        <s v="TXN460"/>
        <s v="TXN461"/>
        <s v="TXN462"/>
        <s v="TXN463"/>
        <s v="TXN464"/>
        <s v="TXN465"/>
        <s v="TXN466"/>
        <s v="TXN467"/>
        <s v="TXN468"/>
        <s v="TXN469"/>
        <s v="TXN470"/>
        <s v="TXN471"/>
        <s v="TXN472"/>
        <s v="TXN473"/>
        <s v="TXN474"/>
        <s v="TXN475"/>
        <s v="TXN476"/>
        <s v="TXN477"/>
        <s v="TXN478"/>
        <s v="TXN479"/>
        <s v="TXN480"/>
        <s v="TXN481"/>
        <s v="TXN482"/>
        <s v="TXN483"/>
        <s v="TXN484"/>
        <s v="TXN485"/>
        <s v="TXN486"/>
        <s v="TXN487"/>
        <s v="TXN488"/>
        <s v="TXN489"/>
        <s v="TXN490"/>
        <s v="TXN491"/>
        <s v="TXN492"/>
        <s v="TXN493"/>
        <s v="TXN494"/>
        <s v="TXN495"/>
        <s v="TXN496"/>
        <s v="TXN497"/>
        <s v="TXN498"/>
        <s v="TXN499"/>
        <s v="TXN500"/>
      </sharedItems>
    </cacheField>
    <cacheField name="ItemName" numFmtId="0">
      <sharedItems/>
    </cacheField>
    <cacheField name="Category" numFmtId="0">
      <sharedItems count="6">
        <s v="Furniture"/>
        <s v="Office Supplies"/>
        <s v="Software"/>
        <s v="Stationery"/>
        <s v="Electronics"/>
        <s v="Accessories"/>
      </sharedItems>
    </cacheField>
    <cacheField name="Quantity" numFmtId="0">
      <sharedItems containsSemiMixedTypes="0" containsString="0" containsNumber="1" containsInteger="1" minValue="1" maxValue="20"/>
    </cacheField>
    <cacheField name="UnitPrice" numFmtId="0">
      <sharedItems containsSemiMixedTypes="0" containsString="0" containsNumber="1" containsInteger="1" minValue="21" maxValue="990924"/>
    </cacheField>
    <cacheField name="TotalCost" numFmtId="0">
      <sharedItems containsSemiMixedTypes="0" containsString="0" containsNumber="1" containsInteger="1" minValue="138" maxValue="1745892"/>
    </cacheField>
    <cacheField name="PurchaseDate" numFmtId="14">
      <sharedItems containsSemiMixedTypes="0" containsNonDate="0" containsDate="1" containsString="0" minDate="2024-01-01T00:00:00" maxDate="2024-12-31T00:00:00"/>
    </cacheField>
    <cacheField name="Supplier" numFmtId="0">
      <sharedItems count="5">
        <s v="TechMart Inc."/>
        <s v="CloudSoft Corp."/>
        <s v="FurniWorks Ltd."/>
        <s v="OfficeSupplies Co."/>
        <s v="QuickDeliver Ltd."/>
      </sharedItems>
    </cacheField>
    <cacheField name="Buyer" numFmtId="0">
      <sharedItems count="20">
        <s v="Kelly Joseph"/>
        <s v="Luis Holland"/>
        <s v="Cynthia Jenkins"/>
        <s v="Stephanie Bennett"/>
        <s v="Todd James"/>
        <s v="Aaron Hopkins"/>
        <s v="Kevin Adams"/>
        <s v="Walter Pena"/>
        <s v="Jasmine Mcgee"/>
        <s v="Dawn Padilla"/>
        <s v="Amy Warner"/>
        <s v="Lisa Parks"/>
        <s v="Kayla Hanson"/>
        <s v="Rebecca Bell"/>
        <s v="Laura White"/>
        <s v="Jessica Hodges"/>
        <s v="Nicole Clay"/>
        <s v="Noah Long"/>
        <s v="Melissa Mckee"/>
        <s v="Barry Johnson"/>
      </sharedItems>
    </cacheField>
  </cacheFields>
  <extLst>
    <ext xmlns:x14="http://schemas.microsoft.com/office/spreadsheetml/2009/9/main" uri="{725AE2AE-9491-48be-B2B4-4EB974FC3084}">
      <x14:pivotCacheDefinition pivotCacheId="10256030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Desk Chair"/>
    <x v="0"/>
    <n v="10"/>
    <n v="11315"/>
    <n v="11315"/>
    <d v="2024-04-19T00:00:00"/>
    <x v="0"/>
    <x v="0"/>
  </r>
  <r>
    <x v="1"/>
    <s v="Stapler"/>
    <x v="1"/>
    <n v="16"/>
    <n v="1262"/>
    <n v="20192"/>
    <d v="2024-07-06T00:00:00"/>
    <x v="1"/>
    <x v="0"/>
  </r>
  <r>
    <x v="2"/>
    <s v="Annual Software License"/>
    <x v="2"/>
    <n v="1"/>
    <n v="564934"/>
    <n v="564934"/>
    <d v="2024-09-10T00:00:00"/>
    <x v="0"/>
    <x v="0"/>
  </r>
  <r>
    <x v="3"/>
    <s v="Notepad"/>
    <x v="3"/>
    <n v="13"/>
    <n v="292"/>
    <n v="3796"/>
    <d v="2024-01-21T00:00:00"/>
    <x v="2"/>
    <x v="1"/>
  </r>
  <r>
    <x v="4"/>
    <s v="Notepad"/>
    <x v="3"/>
    <n v="19"/>
    <n v="139"/>
    <n v="2641"/>
    <d v="2024-02-03T00:00:00"/>
    <x v="0"/>
    <x v="2"/>
  </r>
  <r>
    <x v="5"/>
    <s v="Printer"/>
    <x v="4"/>
    <n v="19"/>
    <n v="15094"/>
    <n v="286786"/>
    <d v="2024-11-28T00:00:00"/>
    <x v="2"/>
    <x v="3"/>
  </r>
  <r>
    <x v="6"/>
    <s v="Notepad"/>
    <x v="3"/>
    <n v="8"/>
    <n v="273"/>
    <n v="2184"/>
    <d v="2024-02-19T00:00:00"/>
    <x v="3"/>
    <x v="4"/>
  </r>
  <r>
    <x v="7"/>
    <s v="Notepad"/>
    <x v="3"/>
    <n v="4"/>
    <n v="242"/>
    <n v="968"/>
    <d v="2024-09-11T00:00:00"/>
    <x v="2"/>
    <x v="5"/>
  </r>
  <r>
    <x v="8"/>
    <s v="Printer Ink"/>
    <x v="3"/>
    <n v="13"/>
    <n v="1189"/>
    <n v="15457"/>
    <d v="2024-04-12T00:00:00"/>
    <x v="2"/>
    <x v="6"/>
  </r>
  <r>
    <x v="9"/>
    <s v="Whiteboard"/>
    <x v="0"/>
    <n v="19"/>
    <n v="10082"/>
    <n v="191558"/>
    <d v="2024-12-14T00:00:00"/>
    <x v="2"/>
    <x v="5"/>
  </r>
  <r>
    <x v="10"/>
    <s v="Annual Software License"/>
    <x v="2"/>
    <n v="1"/>
    <n v="818391"/>
    <n v="818391"/>
    <d v="2024-01-13T00:00:00"/>
    <x v="4"/>
    <x v="5"/>
  </r>
  <r>
    <x v="11"/>
    <s v="Notepad"/>
    <x v="3"/>
    <n v="14"/>
    <n v="292"/>
    <n v="4088"/>
    <d v="2024-08-01T00:00:00"/>
    <x v="2"/>
    <x v="7"/>
  </r>
  <r>
    <x v="12"/>
    <s v="Stapler"/>
    <x v="1"/>
    <n v="15"/>
    <n v="84"/>
    <n v="1260"/>
    <d v="2024-01-17T00:00:00"/>
    <x v="2"/>
    <x v="8"/>
  </r>
  <r>
    <x v="13"/>
    <s v="Whiteboard"/>
    <x v="0"/>
    <n v="20"/>
    <n v="11186"/>
    <n v="22372"/>
    <d v="2024-04-12T00:00:00"/>
    <x v="2"/>
    <x v="9"/>
  </r>
  <r>
    <x v="14"/>
    <s v="Notepad"/>
    <x v="3"/>
    <n v="17"/>
    <n v="141"/>
    <n v="2397"/>
    <d v="2024-12-30T00:00:00"/>
    <x v="4"/>
    <x v="3"/>
  </r>
  <r>
    <x v="15"/>
    <s v="Monitor"/>
    <x v="4"/>
    <n v="6"/>
    <n v="26379"/>
    <n v="158274"/>
    <d v="2024-11-06T00:00:00"/>
    <x v="4"/>
    <x v="7"/>
  </r>
  <r>
    <x v="16"/>
    <s v="Laptop Bag"/>
    <x v="5"/>
    <n v="2"/>
    <n v="320"/>
    <n v="640"/>
    <d v="2024-08-10T00:00:00"/>
    <x v="2"/>
    <x v="10"/>
  </r>
  <r>
    <x v="17"/>
    <s v="Laptop Bag"/>
    <x v="5"/>
    <n v="16"/>
    <n v="4202"/>
    <n v="67232"/>
    <d v="2024-09-02T00:00:00"/>
    <x v="2"/>
    <x v="11"/>
  </r>
  <r>
    <x v="18"/>
    <s v="Laptop"/>
    <x v="4"/>
    <n v="19"/>
    <n v="81519"/>
    <n v="1548861"/>
    <d v="2024-10-22T00:00:00"/>
    <x v="0"/>
    <x v="8"/>
  </r>
  <r>
    <x v="19"/>
    <s v="Monitor"/>
    <x v="4"/>
    <n v="9"/>
    <n v="33661"/>
    <n v="302949"/>
    <d v="2024-03-03T00:00:00"/>
    <x v="4"/>
    <x v="8"/>
  </r>
  <r>
    <x v="20"/>
    <s v="Stapler"/>
    <x v="1"/>
    <n v="3"/>
    <n v="1302"/>
    <n v="3906"/>
    <d v="2024-05-26T00:00:00"/>
    <x v="1"/>
    <x v="9"/>
  </r>
  <r>
    <x v="21"/>
    <s v="Printer"/>
    <x v="4"/>
    <n v="13"/>
    <n v="20733"/>
    <n v="269529"/>
    <d v="2024-02-16T00:00:00"/>
    <x v="2"/>
    <x v="12"/>
  </r>
  <r>
    <x v="22"/>
    <s v="Whiteboard"/>
    <x v="0"/>
    <n v="16"/>
    <n v="1506"/>
    <n v="24096"/>
    <d v="2024-08-30T00:00:00"/>
    <x v="2"/>
    <x v="9"/>
  </r>
  <r>
    <x v="23"/>
    <s v="Whiteboard"/>
    <x v="0"/>
    <n v="16"/>
    <n v="13965"/>
    <n v="22344"/>
    <d v="2024-10-10T00:00:00"/>
    <x v="4"/>
    <x v="11"/>
  </r>
  <r>
    <x v="24"/>
    <s v="Notepad"/>
    <x v="3"/>
    <n v="18"/>
    <n v="115"/>
    <n v="207"/>
    <d v="2024-05-21T00:00:00"/>
    <x v="4"/>
    <x v="11"/>
  </r>
  <r>
    <x v="25"/>
    <s v="Desk Chair"/>
    <x v="0"/>
    <n v="15"/>
    <n v="10614"/>
    <n v="15921"/>
    <d v="2024-08-25T00:00:00"/>
    <x v="3"/>
    <x v="13"/>
  </r>
  <r>
    <x v="26"/>
    <s v="Annual Software License"/>
    <x v="2"/>
    <n v="1"/>
    <n v="509986"/>
    <n v="509986"/>
    <d v="2024-01-10T00:00:00"/>
    <x v="2"/>
    <x v="3"/>
  </r>
  <r>
    <x v="27"/>
    <s v="Desk Chair"/>
    <x v="0"/>
    <n v="6"/>
    <n v="18726"/>
    <n v="112356"/>
    <d v="2024-08-10T00:00:00"/>
    <x v="0"/>
    <x v="9"/>
  </r>
  <r>
    <x v="28"/>
    <s v="Laptop Bag"/>
    <x v="5"/>
    <n v="5"/>
    <n v="3033"/>
    <n v="15165"/>
    <d v="2024-11-10T00:00:00"/>
    <x v="3"/>
    <x v="3"/>
  </r>
  <r>
    <x v="29"/>
    <s v="Printer"/>
    <x v="4"/>
    <n v="4"/>
    <n v="23203"/>
    <n v="92812"/>
    <d v="2024-06-15T00:00:00"/>
    <x v="3"/>
    <x v="5"/>
  </r>
  <r>
    <x v="30"/>
    <s v="Laptop"/>
    <x v="4"/>
    <n v="16"/>
    <n v="98067"/>
    <n v="1569072"/>
    <d v="2024-05-13T00:00:00"/>
    <x v="4"/>
    <x v="1"/>
  </r>
  <r>
    <x v="31"/>
    <s v="Annual Software License"/>
    <x v="2"/>
    <n v="1"/>
    <n v="576009"/>
    <n v="576009"/>
    <d v="2024-01-08T00:00:00"/>
    <x v="0"/>
    <x v="5"/>
  </r>
  <r>
    <x v="32"/>
    <s v="Monitor"/>
    <x v="4"/>
    <n v="18"/>
    <n v="29604"/>
    <n v="532872"/>
    <d v="2024-01-14T00:00:00"/>
    <x v="0"/>
    <x v="6"/>
  </r>
  <r>
    <x v="33"/>
    <s v="Desk Chair"/>
    <x v="0"/>
    <n v="3"/>
    <n v="10675"/>
    <n v="32025"/>
    <d v="2024-04-20T00:00:00"/>
    <x v="1"/>
    <x v="9"/>
  </r>
  <r>
    <x v="34"/>
    <s v="Annual Software License"/>
    <x v="2"/>
    <n v="1"/>
    <n v="556323"/>
    <n v="556323"/>
    <d v="2024-10-26T00:00:00"/>
    <x v="0"/>
    <x v="14"/>
  </r>
  <r>
    <x v="35"/>
    <s v="Notepad"/>
    <x v="3"/>
    <n v="13"/>
    <n v="262"/>
    <n v="3406"/>
    <d v="2024-10-19T00:00:00"/>
    <x v="3"/>
    <x v="3"/>
  </r>
  <r>
    <x v="36"/>
    <s v="Printer Ink"/>
    <x v="3"/>
    <n v="8"/>
    <n v="1263"/>
    <n v="10104"/>
    <d v="2024-09-11T00:00:00"/>
    <x v="3"/>
    <x v="13"/>
  </r>
  <r>
    <x v="37"/>
    <s v="Whiteboard"/>
    <x v="0"/>
    <n v="2"/>
    <n v="12414"/>
    <n v="24828"/>
    <d v="2024-05-08T00:00:00"/>
    <x v="2"/>
    <x v="15"/>
  </r>
  <r>
    <x v="38"/>
    <s v="Laptop"/>
    <x v="4"/>
    <n v="4"/>
    <n v="98993"/>
    <n v="395972"/>
    <d v="2024-10-06T00:00:00"/>
    <x v="2"/>
    <x v="16"/>
  </r>
  <r>
    <x v="39"/>
    <s v="Printer"/>
    <x v="4"/>
    <n v="3"/>
    <n v="17005"/>
    <n v="51015"/>
    <d v="2024-09-02T00:00:00"/>
    <x v="4"/>
    <x v="13"/>
  </r>
  <r>
    <x v="40"/>
    <s v="Printer Ink"/>
    <x v="3"/>
    <n v="8"/>
    <n v="1386"/>
    <n v="11088"/>
    <d v="2024-06-13T00:00:00"/>
    <x v="3"/>
    <x v="9"/>
  </r>
  <r>
    <x v="41"/>
    <s v="Whiteboard"/>
    <x v="0"/>
    <n v="3"/>
    <n v="10827"/>
    <n v="32481"/>
    <d v="2024-08-25T00:00:00"/>
    <x v="2"/>
    <x v="12"/>
  </r>
  <r>
    <x v="42"/>
    <s v="Laptop"/>
    <x v="4"/>
    <n v="9"/>
    <n v="83213"/>
    <n v="748917"/>
    <d v="2024-04-27T00:00:00"/>
    <x v="0"/>
    <x v="12"/>
  </r>
  <r>
    <x v="43"/>
    <s v="Stapler"/>
    <x v="1"/>
    <n v="16"/>
    <n v="1307"/>
    <n v="20912"/>
    <d v="2024-01-03T00:00:00"/>
    <x v="0"/>
    <x v="8"/>
  </r>
  <r>
    <x v="44"/>
    <s v="Laptop"/>
    <x v="4"/>
    <n v="12"/>
    <n v="83525"/>
    <n v="100230"/>
    <d v="2024-08-05T00:00:00"/>
    <x v="4"/>
    <x v="14"/>
  </r>
  <r>
    <x v="45"/>
    <s v="Stapler"/>
    <x v="1"/>
    <n v="11"/>
    <n v="1443"/>
    <n v="15873"/>
    <d v="2024-04-10T00:00:00"/>
    <x v="1"/>
    <x v="3"/>
  </r>
  <r>
    <x v="46"/>
    <s v="Monitor"/>
    <x v="4"/>
    <n v="20"/>
    <n v="22787"/>
    <n v="45574"/>
    <d v="2024-05-01T00:00:00"/>
    <x v="2"/>
    <x v="17"/>
  </r>
  <r>
    <x v="47"/>
    <s v="Notepad"/>
    <x v="3"/>
    <n v="15"/>
    <n v="236"/>
    <n v="354"/>
    <d v="2024-01-16T00:00:00"/>
    <x v="4"/>
    <x v="18"/>
  </r>
  <r>
    <x v="48"/>
    <s v="Stapler"/>
    <x v="1"/>
    <n v="11"/>
    <n v="642"/>
    <n v="7062"/>
    <d v="2024-08-01T00:00:00"/>
    <x v="3"/>
    <x v="10"/>
  </r>
  <r>
    <x v="49"/>
    <s v="Desk Chair"/>
    <x v="0"/>
    <n v="16"/>
    <n v="16377"/>
    <n v="262032"/>
    <d v="2024-02-27T00:00:00"/>
    <x v="4"/>
    <x v="0"/>
  </r>
  <r>
    <x v="50"/>
    <s v="Whiteboard"/>
    <x v="0"/>
    <n v="10"/>
    <n v="12234"/>
    <n v="12234"/>
    <d v="2024-07-31T00:00:00"/>
    <x v="1"/>
    <x v="6"/>
  </r>
  <r>
    <x v="51"/>
    <s v="Laptop"/>
    <x v="4"/>
    <n v="1"/>
    <n v="87663"/>
    <n v="87663"/>
    <d v="2024-05-09T00:00:00"/>
    <x v="2"/>
    <x v="9"/>
  </r>
  <r>
    <x v="52"/>
    <s v="Printer"/>
    <x v="4"/>
    <n v="9"/>
    <n v="24089"/>
    <n v="216801"/>
    <d v="2024-07-06T00:00:00"/>
    <x v="4"/>
    <x v="14"/>
  </r>
  <r>
    <x v="53"/>
    <s v="Laptop"/>
    <x v="4"/>
    <n v="14"/>
    <n v="81203"/>
    <n v="1136842"/>
    <d v="2024-01-01T00:00:00"/>
    <x v="4"/>
    <x v="14"/>
  </r>
  <r>
    <x v="54"/>
    <s v="Desk Chair"/>
    <x v="0"/>
    <n v="20"/>
    <n v="18344"/>
    <n v="36688"/>
    <d v="2024-12-08T00:00:00"/>
    <x v="0"/>
    <x v="15"/>
  </r>
  <r>
    <x v="55"/>
    <s v="Desk Chair"/>
    <x v="0"/>
    <n v="3"/>
    <n v="11649"/>
    <n v="34947"/>
    <d v="2024-09-24T00:00:00"/>
    <x v="4"/>
    <x v="9"/>
  </r>
  <r>
    <x v="56"/>
    <s v="Laptop Bag"/>
    <x v="5"/>
    <n v="5"/>
    <n v="2165"/>
    <n v="10825"/>
    <d v="2024-02-04T00:00:00"/>
    <x v="2"/>
    <x v="9"/>
  </r>
  <r>
    <x v="57"/>
    <s v="Printer Ink"/>
    <x v="3"/>
    <n v="17"/>
    <n v="1186"/>
    <n v="20162"/>
    <d v="2024-11-28T00:00:00"/>
    <x v="2"/>
    <x v="0"/>
  </r>
  <r>
    <x v="58"/>
    <s v="Desk Chair"/>
    <x v="0"/>
    <n v="20"/>
    <n v="14945"/>
    <n v="29890"/>
    <d v="2024-07-10T00:00:00"/>
    <x v="1"/>
    <x v="12"/>
  </r>
  <r>
    <x v="59"/>
    <s v="Monitor"/>
    <x v="4"/>
    <n v="11"/>
    <n v="34844"/>
    <n v="383284"/>
    <d v="2024-05-28T00:00:00"/>
    <x v="2"/>
    <x v="3"/>
  </r>
  <r>
    <x v="60"/>
    <s v="Laptop"/>
    <x v="4"/>
    <n v="20"/>
    <n v="92032"/>
    <n v="184064"/>
    <d v="2024-11-17T00:00:00"/>
    <x v="0"/>
    <x v="9"/>
  </r>
  <r>
    <x v="61"/>
    <s v="Printer"/>
    <x v="4"/>
    <n v="5"/>
    <n v="29298"/>
    <n v="14649"/>
    <d v="2024-08-20T00:00:00"/>
    <x v="4"/>
    <x v="11"/>
  </r>
  <r>
    <x v="62"/>
    <s v="Whiteboard"/>
    <x v="0"/>
    <n v="18"/>
    <n v="16763"/>
    <n v="301734"/>
    <d v="2024-05-02T00:00:00"/>
    <x v="1"/>
    <x v="13"/>
  </r>
  <r>
    <x v="63"/>
    <s v="Stapler"/>
    <x v="1"/>
    <n v="13"/>
    <n v="1439"/>
    <n v="18707"/>
    <d v="2024-10-29T00:00:00"/>
    <x v="3"/>
    <x v="0"/>
  </r>
  <r>
    <x v="64"/>
    <s v="Stapler"/>
    <x v="1"/>
    <n v="3"/>
    <n v="634"/>
    <n v="1902"/>
    <d v="2024-05-02T00:00:00"/>
    <x v="1"/>
    <x v="0"/>
  </r>
  <r>
    <x v="65"/>
    <s v="Monitor"/>
    <x v="4"/>
    <n v="5"/>
    <n v="22726"/>
    <n v="11363"/>
    <d v="2024-06-30T00:00:00"/>
    <x v="4"/>
    <x v="9"/>
  </r>
  <r>
    <x v="66"/>
    <s v="Notepad"/>
    <x v="3"/>
    <n v="12"/>
    <n v="22"/>
    <n v="264"/>
    <d v="2024-06-15T00:00:00"/>
    <x v="3"/>
    <x v="4"/>
  </r>
  <r>
    <x v="67"/>
    <s v="Desk Chair"/>
    <x v="0"/>
    <n v="15"/>
    <n v="16345"/>
    <n v="245175"/>
    <d v="2024-04-08T00:00:00"/>
    <x v="4"/>
    <x v="4"/>
  </r>
  <r>
    <x v="68"/>
    <s v="Notepad"/>
    <x v="3"/>
    <n v="10"/>
    <n v="138"/>
    <n v="138"/>
    <d v="2024-11-30T00:00:00"/>
    <x v="1"/>
    <x v="16"/>
  </r>
  <r>
    <x v="69"/>
    <s v="Desk Chair"/>
    <x v="0"/>
    <n v="11"/>
    <n v="1180"/>
    <n v="12980"/>
    <d v="2024-03-19T00:00:00"/>
    <x v="3"/>
    <x v="7"/>
  </r>
  <r>
    <x v="70"/>
    <s v="Stapler"/>
    <x v="1"/>
    <n v="7"/>
    <n v="1431"/>
    <n v="10017"/>
    <d v="2024-02-03T00:00:00"/>
    <x v="3"/>
    <x v="18"/>
  </r>
  <r>
    <x v="71"/>
    <s v="Notepad"/>
    <x v="3"/>
    <n v="5"/>
    <n v="197"/>
    <n v="985"/>
    <d v="2024-05-20T00:00:00"/>
    <x v="0"/>
    <x v="6"/>
  </r>
  <r>
    <x v="72"/>
    <s v="Laptop"/>
    <x v="4"/>
    <n v="2"/>
    <n v="97947"/>
    <n v="195894"/>
    <d v="2024-08-13T00:00:00"/>
    <x v="0"/>
    <x v="8"/>
  </r>
  <r>
    <x v="73"/>
    <s v="Laptop Bag"/>
    <x v="5"/>
    <n v="5"/>
    <n v="4627"/>
    <n v="23135"/>
    <d v="2024-05-20T00:00:00"/>
    <x v="2"/>
    <x v="1"/>
  </r>
  <r>
    <x v="74"/>
    <s v="Stapler"/>
    <x v="1"/>
    <n v="8"/>
    <n v="1097"/>
    <n v="8776"/>
    <d v="2024-12-27T00:00:00"/>
    <x v="4"/>
    <x v="8"/>
  </r>
  <r>
    <x v="75"/>
    <s v="Laptop"/>
    <x v="4"/>
    <n v="2"/>
    <n v="90312"/>
    <n v="180624"/>
    <d v="2024-02-04T00:00:00"/>
    <x v="0"/>
    <x v="17"/>
  </r>
  <r>
    <x v="76"/>
    <s v="Printer"/>
    <x v="4"/>
    <n v="18"/>
    <n v="28114"/>
    <n v="506052"/>
    <d v="2024-10-06T00:00:00"/>
    <x v="3"/>
    <x v="15"/>
  </r>
  <r>
    <x v="77"/>
    <s v="Notepad"/>
    <x v="3"/>
    <n v="5"/>
    <n v="255"/>
    <n v="1275"/>
    <d v="2024-02-12T00:00:00"/>
    <x v="0"/>
    <x v="10"/>
  </r>
  <r>
    <x v="78"/>
    <s v="Printer Ink"/>
    <x v="3"/>
    <n v="4"/>
    <n v="1043"/>
    <n v="4172"/>
    <d v="2024-09-01T00:00:00"/>
    <x v="2"/>
    <x v="16"/>
  </r>
  <r>
    <x v="79"/>
    <s v="Printer"/>
    <x v="4"/>
    <n v="6"/>
    <n v="18982"/>
    <n v="113892"/>
    <d v="2024-11-15T00:00:00"/>
    <x v="4"/>
    <x v="4"/>
  </r>
  <r>
    <x v="80"/>
    <s v="Monitor"/>
    <x v="4"/>
    <n v="12"/>
    <n v="29972"/>
    <n v="359664"/>
    <d v="2024-02-27T00:00:00"/>
    <x v="2"/>
    <x v="7"/>
  </r>
  <r>
    <x v="81"/>
    <s v="Stapler"/>
    <x v="1"/>
    <n v="12"/>
    <n v="1208"/>
    <n v="14496"/>
    <d v="2024-01-10T00:00:00"/>
    <x v="1"/>
    <x v="9"/>
  </r>
  <r>
    <x v="82"/>
    <s v="Annual Software License"/>
    <x v="2"/>
    <n v="1"/>
    <n v="935786"/>
    <n v="935786"/>
    <d v="2024-12-02T00:00:00"/>
    <x v="0"/>
    <x v="11"/>
  </r>
  <r>
    <x v="83"/>
    <s v="Annual Software License"/>
    <x v="2"/>
    <n v="1"/>
    <n v="72212"/>
    <n v="72212"/>
    <d v="2024-09-04T00:00:00"/>
    <x v="0"/>
    <x v="19"/>
  </r>
  <r>
    <x v="84"/>
    <s v="Whiteboard"/>
    <x v="0"/>
    <n v="19"/>
    <n v="12401"/>
    <n v="235619"/>
    <d v="2024-05-22T00:00:00"/>
    <x v="4"/>
    <x v="1"/>
  </r>
  <r>
    <x v="85"/>
    <s v="Whiteboard"/>
    <x v="0"/>
    <n v="5"/>
    <n v="15307"/>
    <n v="76535"/>
    <d v="2024-03-07T00:00:00"/>
    <x v="0"/>
    <x v="5"/>
  </r>
  <r>
    <x v="86"/>
    <s v="Desk Chair"/>
    <x v="0"/>
    <n v="15"/>
    <n v="16558"/>
    <n v="24837"/>
    <d v="2024-04-29T00:00:00"/>
    <x v="0"/>
    <x v="10"/>
  </r>
  <r>
    <x v="87"/>
    <s v="Annual Software License"/>
    <x v="2"/>
    <n v="1"/>
    <n v="555559"/>
    <n v="555559"/>
    <d v="2024-04-20T00:00:00"/>
    <x v="3"/>
    <x v="10"/>
  </r>
  <r>
    <x v="88"/>
    <s v="Whiteboard"/>
    <x v="0"/>
    <n v="6"/>
    <n v="15057"/>
    <n v="90342"/>
    <d v="2024-07-23T00:00:00"/>
    <x v="0"/>
    <x v="11"/>
  </r>
  <r>
    <x v="89"/>
    <s v="Laptop"/>
    <x v="4"/>
    <n v="6"/>
    <n v="8328"/>
    <n v="49968"/>
    <d v="2024-11-06T00:00:00"/>
    <x v="1"/>
    <x v="14"/>
  </r>
  <r>
    <x v="90"/>
    <s v="Desk Chair"/>
    <x v="0"/>
    <n v="15"/>
    <n v="19546"/>
    <n v="29319"/>
    <d v="2024-09-09T00:00:00"/>
    <x v="4"/>
    <x v="10"/>
  </r>
  <r>
    <x v="91"/>
    <s v="Stapler"/>
    <x v="1"/>
    <n v="7"/>
    <n v="1195"/>
    <n v="8365"/>
    <d v="2024-09-19T00:00:00"/>
    <x v="4"/>
    <x v="19"/>
  </r>
  <r>
    <x v="92"/>
    <s v="Monitor"/>
    <x v="4"/>
    <n v="4"/>
    <n v="2469"/>
    <n v="9876"/>
    <d v="2024-11-05T00:00:00"/>
    <x v="1"/>
    <x v="4"/>
  </r>
  <r>
    <x v="93"/>
    <s v="Laptop"/>
    <x v="4"/>
    <n v="7"/>
    <n v="90044"/>
    <n v="630308"/>
    <d v="2024-08-29T00:00:00"/>
    <x v="1"/>
    <x v="19"/>
  </r>
  <r>
    <x v="94"/>
    <s v="Desk Chair"/>
    <x v="0"/>
    <n v="12"/>
    <n v="18186"/>
    <n v="218232"/>
    <d v="2024-02-21T00:00:00"/>
    <x v="4"/>
    <x v="13"/>
  </r>
  <r>
    <x v="95"/>
    <s v="Desk Chair"/>
    <x v="0"/>
    <n v="1"/>
    <n v="15321"/>
    <n v="15321"/>
    <d v="2024-03-15T00:00:00"/>
    <x v="0"/>
    <x v="0"/>
  </r>
  <r>
    <x v="96"/>
    <s v="Desk Chair"/>
    <x v="0"/>
    <n v="2"/>
    <n v="10908"/>
    <n v="21816"/>
    <d v="2024-08-23T00:00:00"/>
    <x v="1"/>
    <x v="14"/>
  </r>
  <r>
    <x v="97"/>
    <s v="Laptop Bag"/>
    <x v="5"/>
    <n v="12"/>
    <n v="2139"/>
    <n v="25668"/>
    <d v="2024-09-16T00:00:00"/>
    <x v="3"/>
    <x v="1"/>
  </r>
  <r>
    <x v="98"/>
    <s v="Annual Software License"/>
    <x v="2"/>
    <n v="1"/>
    <n v="953443"/>
    <n v="953443"/>
    <d v="2024-04-29T00:00:00"/>
    <x v="2"/>
    <x v="3"/>
  </r>
  <r>
    <x v="99"/>
    <s v="Laptop Bag"/>
    <x v="5"/>
    <n v="10"/>
    <n v="204"/>
    <n v="2040"/>
    <d v="2024-11-23T00:00:00"/>
    <x v="4"/>
    <x v="8"/>
  </r>
  <r>
    <x v="100"/>
    <s v="Laptop Bag"/>
    <x v="5"/>
    <n v="17"/>
    <n v="2434"/>
    <n v="41378"/>
    <d v="2024-10-05T00:00:00"/>
    <x v="3"/>
    <x v="4"/>
  </r>
  <r>
    <x v="101"/>
    <s v="Printer"/>
    <x v="4"/>
    <n v="1"/>
    <n v="21463"/>
    <n v="21463"/>
    <d v="2024-08-02T00:00:00"/>
    <x v="0"/>
    <x v="7"/>
  </r>
  <r>
    <x v="102"/>
    <s v="Annual Software License"/>
    <x v="2"/>
    <n v="1"/>
    <n v="857872"/>
    <n v="857872"/>
    <d v="2024-10-04T00:00:00"/>
    <x v="0"/>
    <x v="16"/>
  </r>
  <r>
    <x v="103"/>
    <s v="Printer Ink"/>
    <x v="3"/>
    <n v="11"/>
    <n v="1127"/>
    <n v="12397"/>
    <d v="2024-08-29T00:00:00"/>
    <x v="1"/>
    <x v="8"/>
  </r>
  <r>
    <x v="104"/>
    <s v="Laptop"/>
    <x v="4"/>
    <n v="1"/>
    <n v="84876"/>
    <n v="84876"/>
    <d v="2024-12-25T00:00:00"/>
    <x v="1"/>
    <x v="16"/>
  </r>
  <r>
    <x v="105"/>
    <s v="Whiteboard"/>
    <x v="0"/>
    <n v="6"/>
    <n v="11595"/>
    <n v="6957"/>
    <d v="2024-12-24T00:00:00"/>
    <x v="3"/>
    <x v="7"/>
  </r>
  <r>
    <x v="106"/>
    <s v="Whiteboard"/>
    <x v="0"/>
    <n v="2"/>
    <n v="12467"/>
    <n v="24934"/>
    <d v="2024-08-09T00:00:00"/>
    <x v="0"/>
    <x v="18"/>
  </r>
  <r>
    <x v="107"/>
    <s v="Laptop Bag"/>
    <x v="5"/>
    <n v="16"/>
    <n v="2311"/>
    <n v="36976"/>
    <d v="2024-08-25T00:00:00"/>
    <x v="2"/>
    <x v="3"/>
  </r>
  <r>
    <x v="108"/>
    <s v="Printer"/>
    <x v="4"/>
    <n v="6"/>
    <n v="28622"/>
    <n v="171732"/>
    <d v="2024-10-06T00:00:00"/>
    <x v="3"/>
    <x v="5"/>
  </r>
  <r>
    <x v="109"/>
    <s v="Whiteboard"/>
    <x v="0"/>
    <n v="14"/>
    <n v="17556"/>
    <n v="245784"/>
    <d v="2024-08-17T00:00:00"/>
    <x v="2"/>
    <x v="4"/>
  </r>
  <r>
    <x v="110"/>
    <s v="Laptop Bag"/>
    <x v="5"/>
    <n v="20"/>
    <n v="2736"/>
    <n v="5472"/>
    <d v="2024-03-08T00:00:00"/>
    <x v="0"/>
    <x v="17"/>
  </r>
  <r>
    <x v="111"/>
    <s v="Annual Software License"/>
    <x v="2"/>
    <n v="1"/>
    <n v="762802"/>
    <n v="762802"/>
    <d v="2024-06-06T00:00:00"/>
    <x v="4"/>
    <x v="19"/>
  </r>
  <r>
    <x v="112"/>
    <s v="Stapler"/>
    <x v="1"/>
    <n v="19"/>
    <n v="1132"/>
    <n v="21508"/>
    <d v="2024-07-11T00:00:00"/>
    <x v="4"/>
    <x v="4"/>
  </r>
  <r>
    <x v="113"/>
    <s v="Notepad"/>
    <x v="3"/>
    <n v="15"/>
    <n v="249"/>
    <n v="3735"/>
    <d v="2024-01-02T00:00:00"/>
    <x v="0"/>
    <x v="12"/>
  </r>
  <r>
    <x v="114"/>
    <s v="Desk Chair"/>
    <x v="0"/>
    <n v="18"/>
    <n v="1502"/>
    <n v="27036"/>
    <d v="2024-04-26T00:00:00"/>
    <x v="0"/>
    <x v="0"/>
  </r>
  <r>
    <x v="115"/>
    <s v="Whiteboard"/>
    <x v="0"/>
    <n v="19"/>
    <n v="17466"/>
    <n v="331854"/>
    <d v="2024-08-12T00:00:00"/>
    <x v="4"/>
    <x v="10"/>
  </r>
  <r>
    <x v="116"/>
    <s v="Printer"/>
    <x v="4"/>
    <n v="15"/>
    <n v="19447"/>
    <n v="291705"/>
    <d v="2024-09-07T00:00:00"/>
    <x v="3"/>
    <x v="12"/>
  </r>
  <r>
    <x v="117"/>
    <s v="Printer Ink"/>
    <x v="3"/>
    <n v="16"/>
    <n v="1945"/>
    <n v="3112"/>
    <d v="2024-01-08T00:00:00"/>
    <x v="4"/>
    <x v="15"/>
  </r>
  <r>
    <x v="118"/>
    <s v="Stapler"/>
    <x v="1"/>
    <n v="19"/>
    <n v="939"/>
    <n v="17841"/>
    <d v="2024-12-19T00:00:00"/>
    <x v="0"/>
    <x v="2"/>
  </r>
  <r>
    <x v="119"/>
    <s v="Laptop Bag"/>
    <x v="5"/>
    <n v="12"/>
    <n v="3894"/>
    <n v="46728"/>
    <d v="2024-12-27T00:00:00"/>
    <x v="4"/>
    <x v="0"/>
  </r>
  <r>
    <x v="120"/>
    <s v="Annual Software License"/>
    <x v="2"/>
    <n v="1"/>
    <n v="677179"/>
    <n v="677179"/>
    <d v="2024-04-10T00:00:00"/>
    <x v="0"/>
    <x v="7"/>
  </r>
  <r>
    <x v="121"/>
    <s v="Whiteboard"/>
    <x v="0"/>
    <n v="2"/>
    <n v="18673"/>
    <n v="37346"/>
    <d v="2024-06-19T00:00:00"/>
    <x v="3"/>
    <x v="1"/>
  </r>
  <r>
    <x v="122"/>
    <s v="Stapler"/>
    <x v="1"/>
    <n v="16"/>
    <n v="1278"/>
    <n v="20448"/>
    <d v="2024-02-20T00:00:00"/>
    <x v="1"/>
    <x v="3"/>
  </r>
  <r>
    <x v="123"/>
    <s v="Notepad"/>
    <x v="3"/>
    <n v="1"/>
    <n v="272"/>
    <n v="272"/>
    <d v="2024-03-30T00:00:00"/>
    <x v="2"/>
    <x v="19"/>
  </r>
  <r>
    <x v="124"/>
    <s v="Desk Chair"/>
    <x v="0"/>
    <n v="6"/>
    <n v="11867"/>
    <n v="71202"/>
    <d v="2024-01-20T00:00:00"/>
    <x v="0"/>
    <x v="18"/>
  </r>
  <r>
    <x v="125"/>
    <s v="Laptop"/>
    <x v="4"/>
    <n v="4"/>
    <n v="99488"/>
    <n v="397952"/>
    <d v="2024-04-03T00:00:00"/>
    <x v="2"/>
    <x v="14"/>
  </r>
  <r>
    <x v="126"/>
    <s v="Printer Ink"/>
    <x v="3"/>
    <n v="3"/>
    <n v="1863"/>
    <n v="5589"/>
    <d v="2024-05-11T00:00:00"/>
    <x v="1"/>
    <x v="19"/>
  </r>
  <r>
    <x v="127"/>
    <s v="Stapler"/>
    <x v="1"/>
    <n v="8"/>
    <n v="1292"/>
    <n v="10336"/>
    <d v="2024-07-31T00:00:00"/>
    <x v="2"/>
    <x v="7"/>
  </r>
  <r>
    <x v="128"/>
    <s v="Printer Ink"/>
    <x v="3"/>
    <n v="10"/>
    <n v="1497"/>
    <n v="1497"/>
    <d v="2024-05-01T00:00:00"/>
    <x v="4"/>
    <x v="10"/>
  </r>
  <r>
    <x v="129"/>
    <s v="Laptop Bag"/>
    <x v="5"/>
    <n v="10"/>
    <n v="2648"/>
    <n v="2648"/>
    <d v="2024-04-20T00:00:00"/>
    <x v="1"/>
    <x v="1"/>
  </r>
  <r>
    <x v="130"/>
    <s v="Monitor"/>
    <x v="4"/>
    <n v="11"/>
    <n v="30104"/>
    <n v="331144"/>
    <d v="2024-05-18T00:00:00"/>
    <x v="4"/>
    <x v="1"/>
  </r>
  <r>
    <x v="131"/>
    <s v="Stapler"/>
    <x v="1"/>
    <n v="16"/>
    <n v="1381"/>
    <n v="22096"/>
    <d v="2024-12-16T00:00:00"/>
    <x v="2"/>
    <x v="1"/>
  </r>
  <r>
    <x v="132"/>
    <s v="Annual Software License"/>
    <x v="2"/>
    <n v="1"/>
    <n v="887861"/>
    <n v="887861"/>
    <d v="2024-09-20T00:00:00"/>
    <x v="4"/>
    <x v="19"/>
  </r>
  <r>
    <x v="133"/>
    <s v="Laptop"/>
    <x v="4"/>
    <n v="17"/>
    <n v="83068"/>
    <n v="1412156"/>
    <d v="2024-04-21T00:00:00"/>
    <x v="3"/>
    <x v="4"/>
  </r>
  <r>
    <x v="134"/>
    <s v="Desk Chair"/>
    <x v="0"/>
    <n v="5"/>
    <n v="1063"/>
    <n v="5315"/>
    <d v="2024-12-28T00:00:00"/>
    <x v="1"/>
    <x v="18"/>
  </r>
  <r>
    <x v="135"/>
    <s v="Printer Ink"/>
    <x v="3"/>
    <n v="5"/>
    <n v="1407"/>
    <n v="7035"/>
    <d v="2024-04-23T00:00:00"/>
    <x v="0"/>
    <x v="14"/>
  </r>
  <r>
    <x v="136"/>
    <s v="Laptop"/>
    <x v="4"/>
    <n v="13"/>
    <n v="82583"/>
    <n v="1073579"/>
    <d v="2024-03-14T00:00:00"/>
    <x v="1"/>
    <x v="13"/>
  </r>
  <r>
    <x v="137"/>
    <s v="Laptop Bag"/>
    <x v="5"/>
    <n v="14"/>
    <n v="4492"/>
    <n v="62888"/>
    <d v="2024-10-28T00:00:00"/>
    <x v="2"/>
    <x v="15"/>
  </r>
  <r>
    <x v="138"/>
    <s v="Monitor"/>
    <x v="4"/>
    <n v="13"/>
    <n v="23984"/>
    <n v="311792"/>
    <d v="2024-09-24T00:00:00"/>
    <x v="4"/>
    <x v="1"/>
  </r>
  <r>
    <x v="139"/>
    <s v="Printer Ink"/>
    <x v="3"/>
    <n v="8"/>
    <n v="1153"/>
    <n v="9224"/>
    <d v="2024-02-29T00:00:00"/>
    <x v="3"/>
    <x v="2"/>
  </r>
  <r>
    <x v="140"/>
    <s v="Annual Software License"/>
    <x v="2"/>
    <n v="1"/>
    <n v="545269"/>
    <n v="545269"/>
    <d v="2024-05-12T00:00:00"/>
    <x v="2"/>
    <x v="2"/>
  </r>
  <r>
    <x v="141"/>
    <s v="Annual Software License"/>
    <x v="2"/>
    <n v="1"/>
    <n v="634234"/>
    <n v="634234"/>
    <d v="2024-06-27T00:00:00"/>
    <x v="1"/>
    <x v="8"/>
  </r>
  <r>
    <x v="142"/>
    <s v="Stapler"/>
    <x v="1"/>
    <n v="13"/>
    <n v="892"/>
    <n v="11596"/>
    <d v="2024-04-09T00:00:00"/>
    <x v="0"/>
    <x v="6"/>
  </r>
  <r>
    <x v="143"/>
    <s v="Laptop Bag"/>
    <x v="5"/>
    <n v="18"/>
    <n v="4198"/>
    <n v="75564"/>
    <d v="2024-06-12T00:00:00"/>
    <x v="0"/>
    <x v="0"/>
  </r>
  <r>
    <x v="144"/>
    <s v="Desk Chair"/>
    <x v="0"/>
    <n v="9"/>
    <n v="11769"/>
    <n v="105921"/>
    <d v="2024-11-27T00:00:00"/>
    <x v="1"/>
    <x v="8"/>
  </r>
  <r>
    <x v="145"/>
    <s v="Desk Chair"/>
    <x v="0"/>
    <n v="18"/>
    <n v="10801"/>
    <n v="194418"/>
    <d v="2024-12-11T00:00:00"/>
    <x v="3"/>
    <x v="2"/>
  </r>
  <r>
    <x v="146"/>
    <s v="Desk Chair"/>
    <x v="0"/>
    <n v="16"/>
    <n v="1322"/>
    <n v="21152"/>
    <d v="2024-10-26T00:00:00"/>
    <x v="4"/>
    <x v="14"/>
  </r>
  <r>
    <x v="147"/>
    <s v="Desk Chair"/>
    <x v="0"/>
    <n v="17"/>
    <n v="12836"/>
    <n v="218212"/>
    <d v="2024-10-11T00:00:00"/>
    <x v="2"/>
    <x v="14"/>
  </r>
  <r>
    <x v="148"/>
    <s v="Printer"/>
    <x v="4"/>
    <n v="5"/>
    <n v="23786"/>
    <n v="11893"/>
    <d v="2024-11-15T00:00:00"/>
    <x v="1"/>
    <x v="9"/>
  </r>
  <r>
    <x v="149"/>
    <s v="Annual Software License"/>
    <x v="2"/>
    <n v="1"/>
    <n v="871936"/>
    <n v="871936"/>
    <d v="2024-10-02T00:00:00"/>
    <x v="3"/>
    <x v="10"/>
  </r>
  <r>
    <x v="150"/>
    <s v="Laptop Bag"/>
    <x v="5"/>
    <n v="10"/>
    <n v="3296"/>
    <n v="3296"/>
    <d v="2024-07-17T00:00:00"/>
    <x v="3"/>
    <x v="5"/>
  </r>
  <r>
    <x v="151"/>
    <s v="Annual Software License"/>
    <x v="2"/>
    <n v="1"/>
    <n v="933161"/>
    <n v="933161"/>
    <d v="2024-08-01T00:00:00"/>
    <x v="2"/>
    <x v="12"/>
  </r>
  <r>
    <x v="152"/>
    <s v="Laptop"/>
    <x v="4"/>
    <n v="2"/>
    <n v="91739"/>
    <n v="183478"/>
    <d v="2024-08-14T00:00:00"/>
    <x v="1"/>
    <x v="15"/>
  </r>
  <r>
    <x v="153"/>
    <s v="Laptop Bag"/>
    <x v="5"/>
    <n v="15"/>
    <n v="2146"/>
    <n v="3219"/>
    <d v="2024-07-20T00:00:00"/>
    <x v="1"/>
    <x v="18"/>
  </r>
  <r>
    <x v="154"/>
    <s v="Laptop Bag"/>
    <x v="5"/>
    <n v="11"/>
    <n v="2581"/>
    <n v="28391"/>
    <d v="2024-03-13T00:00:00"/>
    <x v="0"/>
    <x v="4"/>
  </r>
  <r>
    <x v="155"/>
    <s v="Printer Ink"/>
    <x v="3"/>
    <n v="2"/>
    <n v="1397"/>
    <n v="2794"/>
    <d v="2024-05-29T00:00:00"/>
    <x v="2"/>
    <x v="17"/>
  </r>
  <r>
    <x v="156"/>
    <s v="Annual Software License"/>
    <x v="2"/>
    <n v="1"/>
    <n v="919359"/>
    <n v="919359"/>
    <d v="2024-07-27T00:00:00"/>
    <x v="3"/>
    <x v="7"/>
  </r>
  <r>
    <x v="157"/>
    <s v="Notepad"/>
    <x v="3"/>
    <n v="16"/>
    <n v="171"/>
    <n v="2736"/>
    <d v="2024-03-06T00:00:00"/>
    <x v="1"/>
    <x v="0"/>
  </r>
  <r>
    <x v="158"/>
    <s v="Printer"/>
    <x v="4"/>
    <n v="3"/>
    <n v="29178"/>
    <n v="87534"/>
    <d v="2024-02-03T00:00:00"/>
    <x v="3"/>
    <x v="9"/>
  </r>
  <r>
    <x v="159"/>
    <s v="Desk Chair"/>
    <x v="0"/>
    <n v="18"/>
    <n v="12129"/>
    <n v="218322"/>
    <d v="2024-04-23T00:00:00"/>
    <x v="3"/>
    <x v="5"/>
  </r>
  <r>
    <x v="160"/>
    <s v="Stapler"/>
    <x v="1"/>
    <n v="6"/>
    <n v="638"/>
    <n v="3828"/>
    <d v="2024-04-05T00:00:00"/>
    <x v="3"/>
    <x v="10"/>
  </r>
  <r>
    <x v="161"/>
    <s v="Stapler"/>
    <x v="1"/>
    <n v="11"/>
    <n v="993"/>
    <n v="10923"/>
    <d v="2024-06-13T00:00:00"/>
    <x v="4"/>
    <x v="10"/>
  </r>
  <r>
    <x v="162"/>
    <s v="Printer Ink"/>
    <x v="3"/>
    <n v="6"/>
    <n v="1954"/>
    <n v="11724"/>
    <d v="2024-11-07T00:00:00"/>
    <x v="3"/>
    <x v="1"/>
  </r>
  <r>
    <x v="163"/>
    <s v="Annual Software License"/>
    <x v="2"/>
    <n v="1"/>
    <n v="533546"/>
    <n v="533546"/>
    <d v="2024-05-29T00:00:00"/>
    <x v="3"/>
    <x v="15"/>
  </r>
  <r>
    <x v="164"/>
    <s v="Printer"/>
    <x v="4"/>
    <n v="6"/>
    <n v="18293"/>
    <n v="109758"/>
    <d v="2024-06-06T00:00:00"/>
    <x v="1"/>
    <x v="4"/>
  </r>
  <r>
    <x v="165"/>
    <s v="Laptop"/>
    <x v="4"/>
    <n v="4"/>
    <n v="95586"/>
    <n v="382344"/>
    <d v="2024-05-12T00:00:00"/>
    <x v="1"/>
    <x v="19"/>
  </r>
  <r>
    <x v="166"/>
    <s v="Laptop Bag"/>
    <x v="5"/>
    <n v="7"/>
    <n v="3533"/>
    <n v="24731"/>
    <d v="2024-08-08T00:00:00"/>
    <x v="1"/>
    <x v="9"/>
  </r>
  <r>
    <x v="167"/>
    <s v="Laptop Bag"/>
    <x v="5"/>
    <n v="7"/>
    <n v="4279"/>
    <n v="29953"/>
    <d v="2024-06-04T00:00:00"/>
    <x v="4"/>
    <x v="9"/>
  </r>
  <r>
    <x v="168"/>
    <s v="Monitor"/>
    <x v="4"/>
    <n v="9"/>
    <n v="28563"/>
    <n v="257067"/>
    <d v="2024-11-27T00:00:00"/>
    <x v="0"/>
    <x v="18"/>
  </r>
  <r>
    <x v="169"/>
    <s v="Laptop"/>
    <x v="4"/>
    <n v="6"/>
    <n v="94167"/>
    <n v="565002"/>
    <d v="2024-03-28T00:00:00"/>
    <x v="1"/>
    <x v="7"/>
  </r>
  <r>
    <x v="170"/>
    <s v="Desk Chair"/>
    <x v="0"/>
    <n v="3"/>
    <n v="11751"/>
    <n v="35253"/>
    <d v="2024-04-21T00:00:00"/>
    <x v="3"/>
    <x v="9"/>
  </r>
  <r>
    <x v="171"/>
    <s v="Desk Chair"/>
    <x v="0"/>
    <n v="6"/>
    <n v="16875"/>
    <n v="10125"/>
    <d v="2024-07-20T00:00:00"/>
    <x v="4"/>
    <x v="2"/>
  </r>
  <r>
    <x v="172"/>
    <s v="Desk Chair"/>
    <x v="0"/>
    <n v="14"/>
    <n v="12844"/>
    <n v="179816"/>
    <d v="2024-06-07T00:00:00"/>
    <x v="2"/>
    <x v="10"/>
  </r>
  <r>
    <x v="173"/>
    <s v="Laptop Bag"/>
    <x v="5"/>
    <n v="10"/>
    <n v="4054"/>
    <n v="4054"/>
    <d v="2024-09-27T00:00:00"/>
    <x v="3"/>
    <x v="11"/>
  </r>
  <r>
    <x v="174"/>
    <s v="Annual Software License"/>
    <x v="2"/>
    <n v="1"/>
    <n v="983653"/>
    <n v="983653"/>
    <d v="2024-11-26T00:00:00"/>
    <x v="0"/>
    <x v="10"/>
  </r>
  <r>
    <x v="175"/>
    <s v="Monitor"/>
    <x v="4"/>
    <n v="12"/>
    <n v="33318"/>
    <n v="399816"/>
    <d v="2024-12-23T00:00:00"/>
    <x v="0"/>
    <x v="16"/>
  </r>
  <r>
    <x v="176"/>
    <s v="Notepad"/>
    <x v="3"/>
    <n v="17"/>
    <n v="186"/>
    <n v="3162"/>
    <d v="2024-11-10T00:00:00"/>
    <x v="1"/>
    <x v="14"/>
  </r>
  <r>
    <x v="177"/>
    <s v="Stapler"/>
    <x v="1"/>
    <n v="15"/>
    <n v="683"/>
    <n v="10245"/>
    <d v="2024-03-11T00:00:00"/>
    <x v="4"/>
    <x v="11"/>
  </r>
  <r>
    <x v="178"/>
    <s v="Whiteboard"/>
    <x v="0"/>
    <n v="4"/>
    <n v="13246"/>
    <n v="52984"/>
    <d v="2024-12-13T00:00:00"/>
    <x v="1"/>
    <x v="3"/>
  </r>
  <r>
    <x v="179"/>
    <s v="Laptop"/>
    <x v="4"/>
    <n v="8"/>
    <n v="85163"/>
    <n v="681304"/>
    <d v="2024-07-23T00:00:00"/>
    <x v="0"/>
    <x v="9"/>
  </r>
  <r>
    <x v="180"/>
    <s v="Laptop"/>
    <x v="4"/>
    <n v="8"/>
    <n v="84047"/>
    <n v="672376"/>
    <d v="2024-11-26T00:00:00"/>
    <x v="3"/>
    <x v="8"/>
  </r>
  <r>
    <x v="181"/>
    <s v="Notepad"/>
    <x v="3"/>
    <n v="11"/>
    <n v="21"/>
    <n v="231"/>
    <d v="2024-07-15T00:00:00"/>
    <x v="2"/>
    <x v="14"/>
  </r>
  <r>
    <x v="182"/>
    <s v="Desk Chair"/>
    <x v="0"/>
    <n v="20"/>
    <n v="18722"/>
    <n v="37444"/>
    <d v="2024-09-02T00:00:00"/>
    <x v="2"/>
    <x v="10"/>
  </r>
  <r>
    <x v="183"/>
    <s v="Annual Software License"/>
    <x v="2"/>
    <n v="1"/>
    <n v="990924"/>
    <n v="990924"/>
    <d v="2024-06-20T00:00:00"/>
    <x v="3"/>
    <x v="18"/>
  </r>
  <r>
    <x v="184"/>
    <s v="Whiteboard"/>
    <x v="0"/>
    <n v="6"/>
    <n v="16303"/>
    <n v="97818"/>
    <d v="2024-06-11T00:00:00"/>
    <x v="2"/>
    <x v="13"/>
  </r>
  <r>
    <x v="185"/>
    <s v="Notepad"/>
    <x v="3"/>
    <n v="13"/>
    <n v="253"/>
    <n v="3289"/>
    <d v="2024-09-29T00:00:00"/>
    <x v="2"/>
    <x v="15"/>
  </r>
  <r>
    <x v="186"/>
    <s v="Monitor"/>
    <x v="4"/>
    <n v="11"/>
    <n v="34616"/>
    <n v="380776"/>
    <d v="2024-03-02T00:00:00"/>
    <x v="1"/>
    <x v="10"/>
  </r>
  <r>
    <x v="187"/>
    <s v="Whiteboard"/>
    <x v="0"/>
    <n v="18"/>
    <n v="16531"/>
    <n v="297558"/>
    <d v="2024-04-26T00:00:00"/>
    <x v="3"/>
    <x v="7"/>
  </r>
  <r>
    <x v="188"/>
    <s v="Monitor"/>
    <x v="4"/>
    <n v="18"/>
    <n v="3312"/>
    <n v="59616"/>
    <d v="2024-03-24T00:00:00"/>
    <x v="4"/>
    <x v="11"/>
  </r>
  <r>
    <x v="189"/>
    <s v="Notepad"/>
    <x v="3"/>
    <n v="2"/>
    <n v="189"/>
    <n v="378"/>
    <d v="2024-01-20T00:00:00"/>
    <x v="2"/>
    <x v="11"/>
  </r>
  <r>
    <x v="190"/>
    <s v="Whiteboard"/>
    <x v="0"/>
    <n v="17"/>
    <n v="1538"/>
    <n v="26146"/>
    <d v="2024-05-19T00:00:00"/>
    <x v="3"/>
    <x v="1"/>
  </r>
  <r>
    <x v="191"/>
    <s v="Notepad"/>
    <x v="3"/>
    <n v="13"/>
    <n v="106"/>
    <n v="1378"/>
    <d v="2024-07-29T00:00:00"/>
    <x v="1"/>
    <x v="9"/>
  </r>
  <r>
    <x v="192"/>
    <s v="Laptop Bag"/>
    <x v="5"/>
    <n v="6"/>
    <n v="3332"/>
    <n v="19992"/>
    <d v="2024-02-05T00:00:00"/>
    <x v="4"/>
    <x v="4"/>
  </r>
  <r>
    <x v="193"/>
    <s v="Monitor"/>
    <x v="4"/>
    <n v="13"/>
    <n v="30702"/>
    <n v="399126"/>
    <d v="2024-03-11T00:00:00"/>
    <x v="4"/>
    <x v="4"/>
  </r>
  <r>
    <x v="194"/>
    <s v="Annual Software License"/>
    <x v="2"/>
    <n v="1"/>
    <n v="86140"/>
    <n v="86140"/>
    <d v="2024-12-03T00:00:00"/>
    <x v="3"/>
    <x v="12"/>
  </r>
  <r>
    <x v="195"/>
    <s v="Whiteboard"/>
    <x v="0"/>
    <n v="7"/>
    <n v="18764"/>
    <n v="131348"/>
    <d v="2024-02-20T00:00:00"/>
    <x v="1"/>
    <x v="8"/>
  </r>
  <r>
    <x v="196"/>
    <s v="Stapler"/>
    <x v="1"/>
    <n v="18"/>
    <n v="585"/>
    <n v="1053"/>
    <d v="2024-08-06T00:00:00"/>
    <x v="2"/>
    <x v="13"/>
  </r>
  <r>
    <x v="197"/>
    <s v="Notepad"/>
    <x v="3"/>
    <n v="9"/>
    <n v="284"/>
    <n v="2556"/>
    <d v="2024-03-07T00:00:00"/>
    <x v="4"/>
    <x v="16"/>
  </r>
  <r>
    <x v="198"/>
    <s v="Whiteboard"/>
    <x v="0"/>
    <n v="19"/>
    <n v="19895"/>
    <n v="378005"/>
    <d v="2024-12-02T00:00:00"/>
    <x v="4"/>
    <x v="3"/>
  </r>
  <r>
    <x v="199"/>
    <s v="Printer"/>
    <x v="4"/>
    <n v="20"/>
    <n v="22048"/>
    <n v="44096"/>
    <d v="2024-05-07T00:00:00"/>
    <x v="0"/>
    <x v="9"/>
  </r>
  <r>
    <x v="200"/>
    <s v="Stapler"/>
    <x v="1"/>
    <n v="11"/>
    <n v="99"/>
    <n v="1089"/>
    <d v="2024-04-16T00:00:00"/>
    <x v="3"/>
    <x v="1"/>
  </r>
  <r>
    <x v="201"/>
    <s v="Printer Ink"/>
    <x v="3"/>
    <n v="20"/>
    <n v="1021"/>
    <n v="2042"/>
    <d v="2024-04-27T00:00:00"/>
    <x v="2"/>
    <x v="14"/>
  </r>
  <r>
    <x v="202"/>
    <s v="Stapler"/>
    <x v="1"/>
    <n v="15"/>
    <n v="899"/>
    <n v="13485"/>
    <d v="2024-02-28T00:00:00"/>
    <x v="3"/>
    <x v="5"/>
  </r>
  <r>
    <x v="203"/>
    <s v="Notepad"/>
    <x v="3"/>
    <n v="9"/>
    <n v="22"/>
    <n v="198"/>
    <d v="2024-11-10T00:00:00"/>
    <x v="2"/>
    <x v="12"/>
  </r>
  <r>
    <x v="204"/>
    <s v="Stapler"/>
    <x v="1"/>
    <n v="17"/>
    <n v="1261"/>
    <n v="21437"/>
    <d v="2024-06-11T00:00:00"/>
    <x v="4"/>
    <x v="18"/>
  </r>
  <r>
    <x v="205"/>
    <s v="Whiteboard"/>
    <x v="0"/>
    <n v="5"/>
    <n v="15904"/>
    <n v="7952"/>
    <d v="2024-04-22T00:00:00"/>
    <x v="3"/>
    <x v="8"/>
  </r>
  <r>
    <x v="206"/>
    <s v="Notepad"/>
    <x v="3"/>
    <n v="1"/>
    <n v="225"/>
    <n v="225"/>
    <d v="2024-04-02T00:00:00"/>
    <x v="3"/>
    <x v="5"/>
  </r>
  <r>
    <x v="207"/>
    <s v="Stapler"/>
    <x v="1"/>
    <n v="10"/>
    <n v="692"/>
    <n v="692"/>
    <d v="2024-04-21T00:00:00"/>
    <x v="3"/>
    <x v="16"/>
  </r>
  <r>
    <x v="208"/>
    <s v="Whiteboard"/>
    <x v="0"/>
    <n v="2"/>
    <n v="18927"/>
    <n v="37854"/>
    <d v="2024-06-29T00:00:00"/>
    <x v="3"/>
    <x v="1"/>
  </r>
  <r>
    <x v="209"/>
    <s v="Laptop"/>
    <x v="4"/>
    <n v="14"/>
    <n v="83827"/>
    <n v="1173578"/>
    <d v="2024-01-05T00:00:00"/>
    <x v="1"/>
    <x v="2"/>
  </r>
  <r>
    <x v="210"/>
    <s v="Stapler"/>
    <x v="1"/>
    <n v="16"/>
    <n v="1136"/>
    <n v="18176"/>
    <d v="2024-03-21T00:00:00"/>
    <x v="1"/>
    <x v="7"/>
  </r>
  <r>
    <x v="211"/>
    <s v="Stapler"/>
    <x v="1"/>
    <n v="7"/>
    <n v="89"/>
    <n v="623"/>
    <d v="2024-10-06T00:00:00"/>
    <x v="3"/>
    <x v="7"/>
  </r>
  <r>
    <x v="212"/>
    <s v="Whiteboard"/>
    <x v="0"/>
    <n v="19"/>
    <n v="10937"/>
    <n v="207803"/>
    <d v="2024-03-06T00:00:00"/>
    <x v="4"/>
    <x v="15"/>
  </r>
  <r>
    <x v="213"/>
    <s v="Desk Chair"/>
    <x v="0"/>
    <n v="8"/>
    <n v="18138"/>
    <n v="145104"/>
    <d v="2024-03-02T00:00:00"/>
    <x v="2"/>
    <x v="14"/>
  </r>
  <r>
    <x v="214"/>
    <s v="Notepad"/>
    <x v="3"/>
    <n v="17"/>
    <n v="134"/>
    <n v="2278"/>
    <d v="2024-05-20T00:00:00"/>
    <x v="3"/>
    <x v="14"/>
  </r>
  <r>
    <x v="215"/>
    <s v="Desk Chair"/>
    <x v="0"/>
    <n v="7"/>
    <n v="1647"/>
    <n v="11529"/>
    <d v="2024-02-21T00:00:00"/>
    <x v="4"/>
    <x v="12"/>
  </r>
  <r>
    <x v="216"/>
    <s v="Notepad"/>
    <x v="3"/>
    <n v="13"/>
    <n v="223"/>
    <n v="2899"/>
    <d v="2024-03-25T00:00:00"/>
    <x v="3"/>
    <x v="11"/>
  </r>
  <r>
    <x v="217"/>
    <s v="Notepad"/>
    <x v="3"/>
    <n v="2"/>
    <n v="176"/>
    <n v="352"/>
    <d v="2024-02-22T00:00:00"/>
    <x v="4"/>
    <x v="0"/>
  </r>
  <r>
    <x v="218"/>
    <s v="Stapler"/>
    <x v="1"/>
    <n v="14"/>
    <n v="834"/>
    <n v="11676"/>
    <d v="2024-11-26T00:00:00"/>
    <x v="2"/>
    <x v="16"/>
  </r>
  <r>
    <x v="219"/>
    <s v="Monitor"/>
    <x v="4"/>
    <n v="10"/>
    <n v="26791"/>
    <n v="26791"/>
    <d v="2024-07-10T00:00:00"/>
    <x v="0"/>
    <x v="18"/>
  </r>
  <r>
    <x v="220"/>
    <s v="Laptop"/>
    <x v="4"/>
    <n v="11"/>
    <n v="80822"/>
    <n v="889042"/>
    <d v="2024-09-02T00:00:00"/>
    <x v="0"/>
    <x v="13"/>
  </r>
  <r>
    <x v="221"/>
    <s v="Printer"/>
    <x v="4"/>
    <n v="2"/>
    <n v="2708"/>
    <n v="5416"/>
    <d v="2024-10-18T00:00:00"/>
    <x v="1"/>
    <x v="3"/>
  </r>
  <r>
    <x v="222"/>
    <s v="Annual Software License"/>
    <x v="2"/>
    <n v="1"/>
    <n v="887625"/>
    <n v="887625"/>
    <d v="2024-11-04T00:00:00"/>
    <x v="3"/>
    <x v="4"/>
  </r>
  <r>
    <x v="223"/>
    <s v="Printer Ink"/>
    <x v="3"/>
    <n v="14"/>
    <n v="1595"/>
    <n v="2233"/>
    <d v="2024-08-12T00:00:00"/>
    <x v="0"/>
    <x v="8"/>
  </r>
  <r>
    <x v="224"/>
    <s v="Stapler"/>
    <x v="1"/>
    <n v="17"/>
    <n v="1226"/>
    <n v="20842"/>
    <d v="2024-03-24T00:00:00"/>
    <x v="1"/>
    <x v="11"/>
  </r>
  <r>
    <x v="225"/>
    <s v="Laptop"/>
    <x v="4"/>
    <n v="4"/>
    <n v="92027"/>
    <n v="368108"/>
    <d v="2024-12-04T00:00:00"/>
    <x v="3"/>
    <x v="3"/>
  </r>
  <r>
    <x v="226"/>
    <s v="Laptop Bag"/>
    <x v="5"/>
    <n v="20"/>
    <n v="3338"/>
    <n v="6676"/>
    <d v="2024-09-18T00:00:00"/>
    <x v="0"/>
    <x v="4"/>
  </r>
  <r>
    <x v="227"/>
    <s v="Desk Chair"/>
    <x v="0"/>
    <n v="19"/>
    <n v="12067"/>
    <n v="229273"/>
    <d v="2024-01-25T00:00:00"/>
    <x v="1"/>
    <x v="10"/>
  </r>
  <r>
    <x v="228"/>
    <s v="Desk Chair"/>
    <x v="0"/>
    <n v="10"/>
    <n v="15566"/>
    <n v="15566"/>
    <d v="2024-10-15T00:00:00"/>
    <x v="2"/>
    <x v="13"/>
  </r>
  <r>
    <x v="229"/>
    <s v="Printer"/>
    <x v="4"/>
    <n v="4"/>
    <n v="17506"/>
    <n v="70024"/>
    <d v="2024-10-14T00:00:00"/>
    <x v="0"/>
    <x v="11"/>
  </r>
  <r>
    <x v="230"/>
    <s v="Printer Ink"/>
    <x v="3"/>
    <n v="11"/>
    <n v="1666"/>
    <n v="18326"/>
    <d v="2024-04-13T00:00:00"/>
    <x v="0"/>
    <x v="0"/>
  </r>
  <r>
    <x v="231"/>
    <s v="Monitor"/>
    <x v="4"/>
    <n v="15"/>
    <n v="38195"/>
    <n v="572925"/>
    <d v="2024-05-11T00:00:00"/>
    <x v="3"/>
    <x v="8"/>
  </r>
  <r>
    <x v="232"/>
    <s v="Stapler"/>
    <x v="1"/>
    <n v="15"/>
    <n v="975"/>
    <n v="14625"/>
    <d v="2024-11-08T00:00:00"/>
    <x v="2"/>
    <x v="7"/>
  </r>
  <r>
    <x v="233"/>
    <s v="Stapler"/>
    <x v="1"/>
    <n v="12"/>
    <n v="80"/>
    <n v="960"/>
    <d v="2024-09-22T00:00:00"/>
    <x v="2"/>
    <x v="11"/>
  </r>
  <r>
    <x v="234"/>
    <s v="Stapler"/>
    <x v="1"/>
    <n v="14"/>
    <n v="1262"/>
    <n v="17668"/>
    <d v="2024-02-29T00:00:00"/>
    <x v="2"/>
    <x v="12"/>
  </r>
  <r>
    <x v="235"/>
    <s v="Laptop Bag"/>
    <x v="5"/>
    <n v="1"/>
    <n v="2072"/>
    <n v="2072"/>
    <d v="2024-07-03T00:00:00"/>
    <x v="2"/>
    <x v="8"/>
  </r>
  <r>
    <x v="236"/>
    <s v="Whiteboard"/>
    <x v="0"/>
    <n v="8"/>
    <n v="16412"/>
    <n v="131296"/>
    <d v="2024-02-21T00:00:00"/>
    <x v="1"/>
    <x v="6"/>
  </r>
  <r>
    <x v="237"/>
    <s v="Printer"/>
    <x v="4"/>
    <n v="9"/>
    <n v="25432"/>
    <n v="228888"/>
    <d v="2024-08-26T00:00:00"/>
    <x v="0"/>
    <x v="12"/>
  </r>
  <r>
    <x v="238"/>
    <s v="Monitor"/>
    <x v="4"/>
    <n v="20"/>
    <n v="27103"/>
    <n v="54206"/>
    <d v="2024-09-09T00:00:00"/>
    <x v="2"/>
    <x v="14"/>
  </r>
  <r>
    <x v="239"/>
    <s v="Printer Ink"/>
    <x v="3"/>
    <n v="11"/>
    <n v="1566"/>
    <n v="17226"/>
    <d v="2024-07-29T00:00:00"/>
    <x v="2"/>
    <x v="10"/>
  </r>
  <r>
    <x v="240"/>
    <s v="Notepad"/>
    <x v="3"/>
    <n v="15"/>
    <n v="216"/>
    <n v="324"/>
    <d v="2024-03-14T00:00:00"/>
    <x v="4"/>
    <x v="15"/>
  </r>
  <r>
    <x v="241"/>
    <s v="Laptop Bag"/>
    <x v="5"/>
    <n v="3"/>
    <n v="4357"/>
    <n v="13071"/>
    <d v="2024-11-14T00:00:00"/>
    <x v="0"/>
    <x v="19"/>
  </r>
  <r>
    <x v="242"/>
    <s v="Desk Chair"/>
    <x v="0"/>
    <n v="9"/>
    <n v="17005"/>
    <n v="153045"/>
    <d v="2024-03-17T00:00:00"/>
    <x v="0"/>
    <x v="12"/>
  </r>
  <r>
    <x v="243"/>
    <s v="Notepad"/>
    <x v="3"/>
    <n v="1"/>
    <n v="157"/>
    <n v="157"/>
    <d v="2024-01-27T00:00:00"/>
    <x v="0"/>
    <x v="2"/>
  </r>
  <r>
    <x v="244"/>
    <s v="Laptop Bag"/>
    <x v="5"/>
    <n v="15"/>
    <n v="406"/>
    <n v="6090"/>
    <d v="2024-09-02T00:00:00"/>
    <x v="2"/>
    <x v="14"/>
  </r>
  <r>
    <x v="245"/>
    <s v="Printer"/>
    <x v="4"/>
    <n v="14"/>
    <n v="27222"/>
    <n v="381108"/>
    <d v="2024-04-19T00:00:00"/>
    <x v="2"/>
    <x v="1"/>
  </r>
  <r>
    <x v="246"/>
    <s v="Printer Ink"/>
    <x v="3"/>
    <n v="14"/>
    <n v="1419"/>
    <n v="19866"/>
    <d v="2024-09-04T00:00:00"/>
    <x v="3"/>
    <x v="6"/>
  </r>
  <r>
    <x v="247"/>
    <s v="Desk Chair"/>
    <x v="0"/>
    <n v="19"/>
    <n v="16529"/>
    <n v="314051"/>
    <d v="2024-07-23T00:00:00"/>
    <x v="3"/>
    <x v="12"/>
  </r>
  <r>
    <x v="248"/>
    <s v="Notepad"/>
    <x v="3"/>
    <n v="13"/>
    <n v="175"/>
    <n v="2275"/>
    <d v="2024-05-28T00:00:00"/>
    <x v="3"/>
    <x v="15"/>
  </r>
  <r>
    <x v="249"/>
    <s v="Desk Chair"/>
    <x v="0"/>
    <n v="8"/>
    <n v="14626"/>
    <n v="117008"/>
    <d v="2024-07-05T00:00:00"/>
    <x v="3"/>
    <x v="16"/>
  </r>
  <r>
    <x v="250"/>
    <s v="Stapler"/>
    <x v="1"/>
    <n v="19"/>
    <n v="633"/>
    <n v="12027"/>
    <d v="2024-05-22T00:00:00"/>
    <x v="1"/>
    <x v="7"/>
  </r>
  <r>
    <x v="251"/>
    <s v="Laptop"/>
    <x v="4"/>
    <n v="11"/>
    <n v="9607"/>
    <n v="105677"/>
    <d v="2024-10-22T00:00:00"/>
    <x v="0"/>
    <x v="4"/>
  </r>
  <r>
    <x v="252"/>
    <s v="Annual Software License"/>
    <x v="2"/>
    <n v="1"/>
    <n v="531545"/>
    <n v="531545"/>
    <d v="2024-11-08T00:00:00"/>
    <x v="2"/>
    <x v="18"/>
  </r>
  <r>
    <x v="253"/>
    <s v="Stapler"/>
    <x v="1"/>
    <n v="1"/>
    <n v="877"/>
    <n v="877"/>
    <d v="2024-04-20T00:00:00"/>
    <x v="0"/>
    <x v="3"/>
  </r>
  <r>
    <x v="254"/>
    <s v="Whiteboard"/>
    <x v="0"/>
    <n v="17"/>
    <n v="15266"/>
    <n v="259522"/>
    <d v="2024-12-08T00:00:00"/>
    <x v="3"/>
    <x v="15"/>
  </r>
  <r>
    <x v="255"/>
    <s v="Monitor"/>
    <x v="4"/>
    <n v="1"/>
    <n v="23393"/>
    <n v="23393"/>
    <d v="2024-07-12T00:00:00"/>
    <x v="0"/>
    <x v="14"/>
  </r>
  <r>
    <x v="256"/>
    <s v="Desk Chair"/>
    <x v="0"/>
    <n v="2"/>
    <n v="19818"/>
    <n v="39636"/>
    <d v="2024-09-18T00:00:00"/>
    <x v="3"/>
    <x v="18"/>
  </r>
  <r>
    <x v="257"/>
    <s v="Stapler"/>
    <x v="1"/>
    <n v="1"/>
    <n v="1402"/>
    <n v="1402"/>
    <d v="2024-12-21T00:00:00"/>
    <x v="4"/>
    <x v="2"/>
  </r>
  <r>
    <x v="258"/>
    <s v="Desk Chair"/>
    <x v="0"/>
    <n v="17"/>
    <n v="15557"/>
    <n v="264469"/>
    <d v="2024-12-10T00:00:00"/>
    <x v="3"/>
    <x v="7"/>
  </r>
  <r>
    <x v="259"/>
    <s v="Laptop"/>
    <x v="4"/>
    <n v="11"/>
    <n v="97194"/>
    <n v="1069134"/>
    <d v="2024-11-23T00:00:00"/>
    <x v="4"/>
    <x v="18"/>
  </r>
  <r>
    <x v="260"/>
    <s v="Laptop"/>
    <x v="4"/>
    <n v="9"/>
    <n v="90832"/>
    <n v="817488"/>
    <d v="2024-08-25T00:00:00"/>
    <x v="4"/>
    <x v="0"/>
  </r>
  <r>
    <x v="261"/>
    <s v="Whiteboard"/>
    <x v="0"/>
    <n v="14"/>
    <n v="11358"/>
    <n v="159012"/>
    <d v="2024-06-08T00:00:00"/>
    <x v="0"/>
    <x v="5"/>
  </r>
  <r>
    <x v="262"/>
    <s v="Monitor"/>
    <x v="4"/>
    <n v="10"/>
    <n v="24282"/>
    <n v="24282"/>
    <d v="2024-08-12T00:00:00"/>
    <x v="0"/>
    <x v="19"/>
  </r>
  <r>
    <x v="263"/>
    <s v="Whiteboard"/>
    <x v="0"/>
    <n v="12"/>
    <n v="17773"/>
    <n v="213276"/>
    <d v="2024-04-04T00:00:00"/>
    <x v="3"/>
    <x v="13"/>
  </r>
  <r>
    <x v="264"/>
    <s v="Laptop Bag"/>
    <x v="5"/>
    <n v="17"/>
    <n v="3451"/>
    <n v="58667"/>
    <d v="2024-01-01T00:00:00"/>
    <x v="1"/>
    <x v="12"/>
  </r>
  <r>
    <x v="265"/>
    <s v="Printer"/>
    <x v="4"/>
    <n v="4"/>
    <n v="27736"/>
    <n v="110944"/>
    <d v="2024-08-06T00:00:00"/>
    <x v="3"/>
    <x v="1"/>
  </r>
  <r>
    <x v="266"/>
    <s v="Laptop Bag"/>
    <x v="5"/>
    <n v="6"/>
    <n v="2664"/>
    <n v="15984"/>
    <d v="2024-10-27T00:00:00"/>
    <x v="4"/>
    <x v="0"/>
  </r>
  <r>
    <x v="267"/>
    <s v="Desk Chair"/>
    <x v="0"/>
    <n v="9"/>
    <n v="11509"/>
    <n v="103581"/>
    <d v="2024-01-23T00:00:00"/>
    <x v="0"/>
    <x v="3"/>
  </r>
  <r>
    <x v="268"/>
    <s v="Laptop"/>
    <x v="4"/>
    <n v="2"/>
    <n v="85947"/>
    <n v="171894"/>
    <d v="2024-05-01T00:00:00"/>
    <x v="4"/>
    <x v="19"/>
  </r>
  <r>
    <x v="269"/>
    <s v="Stapler"/>
    <x v="1"/>
    <n v="2"/>
    <n v="1289"/>
    <n v="2578"/>
    <d v="2024-04-30T00:00:00"/>
    <x v="4"/>
    <x v="16"/>
  </r>
  <r>
    <x v="270"/>
    <s v="Whiteboard"/>
    <x v="0"/>
    <n v="8"/>
    <n v="19503"/>
    <n v="156024"/>
    <d v="2024-02-10T00:00:00"/>
    <x v="0"/>
    <x v="4"/>
  </r>
  <r>
    <x v="271"/>
    <s v="Monitor"/>
    <x v="4"/>
    <n v="4"/>
    <n v="25489"/>
    <n v="101956"/>
    <d v="2024-04-21T00:00:00"/>
    <x v="0"/>
    <x v="1"/>
  </r>
  <r>
    <x v="272"/>
    <s v="Laptop Bag"/>
    <x v="5"/>
    <n v="18"/>
    <n v="4177"/>
    <n v="75186"/>
    <d v="2024-10-31T00:00:00"/>
    <x v="3"/>
    <x v="14"/>
  </r>
  <r>
    <x v="273"/>
    <s v="Desk Chair"/>
    <x v="0"/>
    <n v="10"/>
    <n v="13154"/>
    <n v="13154"/>
    <d v="2024-07-17T00:00:00"/>
    <x v="0"/>
    <x v="14"/>
  </r>
  <r>
    <x v="274"/>
    <s v="Stapler"/>
    <x v="1"/>
    <n v="5"/>
    <n v="1133"/>
    <n v="5665"/>
    <d v="2024-05-14T00:00:00"/>
    <x v="4"/>
    <x v="10"/>
  </r>
  <r>
    <x v="275"/>
    <s v="Printer Ink"/>
    <x v="3"/>
    <n v="16"/>
    <n v="1384"/>
    <n v="22144"/>
    <d v="2024-01-05T00:00:00"/>
    <x v="2"/>
    <x v="1"/>
  </r>
  <r>
    <x v="276"/>
    <s v="Monitor"/>
    <x v="4"/>
    <n v="13"/>
    <n v="27646"/>
    <n v="359398"/>
    <d v="2024-06-08T00:00:00"/>
    <x v="0"/>
    <x v="10"/>
  </r>
  <r>
    <x v="277"/>
    <s v="Monitor"/>
    <x v="4"/>
    <n v="12"/>
    <n v="25377"/>
    <n v="304524"/>
    <d v="2024-02-28T00:00:00"/>
    <x v="2"/>
    <x v="19"/>
  </r>
  <r>
    <x v="278"/>
    <s v="Printer Ink"/>
    <x v="3"/>
    <n v="3"/>
    <n v="1461"/>
    <n v="4383"/>
    <d v="2024-06-05T00:00:00"/>
    <x v="3"/>
    <x v="12"/>
  </r>
  <r>
    <x v="279"/>
    <s v="Laptop"/>
    <x v="4"/>
    <n v="13"/>
    <n v="87233"/>
    <n v="1134029"/>
    <d v="2024-10-19T00:00:00"/>
    <x v="1"/>
    <x v="14"/>
  </r>
  <r>
    <x v="280"/>
    <s v="Annual Software License"/>
    <x v="2"/>
    <n v="1"/>
    <n v="945225"/>
    <n v="945225"/>
    <d v="2024-06-17T00:00:00"/>
    <x v="4"/>
    <x v="9"/>
  </r>
  <r>
    <x v="281"/>
    <s v="Monitor"/>
    <x v="4"/>
    <n v="14"/>
    <n v="22649"/>
    <n v="317086"/>
    <d v="2024-09-19T00:00:00"/>
    <x v="1"/>
    <x v="7"/>
  </r>
  <r>
    <x v="282"/>
    <s v="Desk Chair"/>
    <x v="0"/>
    <n v="12"/>
    <n v="1009"/>
    <n v="12108"/>
    <d v="2024-10-01T00:00:00"/>
    <x v="0"/>
    <x v="5"/>
  </r>
  <r>
    <x v="283"/>
    <s v="Notepad"/>
    <x v="3"/>
    <n v="14"/>
    <n v="201"/>
    <n v="2814"/>
    <d v="2024-02-22T00:00:00"/>
    <x v="0"/>
    <x v="7"/>
  </r>
  <r>
    <x v="284"/>
    <s v="Monitor"/>
    <x v="4"/>
    <n v="9"/>
    <n v="3152"/>
    <n v="28368"/>
    <d v="2024-03-13T00:00:00"/>
    <x v="3"/>
    <x v="19"/>
  </r>
  <r>
    <x v="285"/>
    <s v="Annual Software License"/>
    <x v="2"/>
    <n v="1"/>
    <n v="667813"/>
    <n v="667813"/>
    <d v="2024-01-14T00:00:00"/>
    <x v="4"/>
    <x v="5"/>
  </r>
  <r>
    <x v="286"/>
    <s v="Desk Chair"/>
    <x v="0"/>
    <n v="11"/>
    <n v="17757"/>
    <n v="195327"/>
    <d v="2024-04-18T00:00:00"/>
    <x v="3"/>
    <x v="2"/>
  </r>
  <r>
    <x v="287"/>
    <s v="Stapler"/>
    <x v="1"/>
    <n v="3"/>
    <n v="1369"/>
    <n v="4107"/>
    <d v="2024-10-23T00:00:00"/>
    <x v="3"/>
    <x v="5"/>
  </r>
  <r>
    <x v="288"/>
    <s v="Desk Chair"/>
    <x v="0"/>
    <n v="17"/>
    <n v="13411"/>
    <n v="227987"/>
    <d v="2024-11-17T00:00:00"/>
    <x v="1"/>
    <x v="3"/>
  </r>
  <r>
    <x v="289"/>
    <s v="Laptop"/>
    <x v="4"/>
    <n v="12"/>
    <n v="86192"/>
    <n v="1034304"/>
    <d v="2024-03-11T00:00:00"/>
    <x v="1"/>
    <x v="19"/>
  </r>
  <r>
    <x v="290"/>
    <s v="Monitor"/>
    <x v="4"/>
    <n v="11"/>
    <n v="20129"/>
    <n v="221419"/>
    <d v="2024-11-10T00:00:00"/>
    <x v="4"/>
    <x v="19"/>
  </r>
  <r>
    <x v="291"/>
    <s v="Laptop Bag"/>
    <x v="5"/>
    <n v="15"/>
    <n v="3231"/>
    <n v="48465"/>
    <d v="2024-06-05T00:00:00"/>
    <x v="3"/>
    <x v="1"/>
  </r>
  <r>
    <x v="292"/>
    <s v="Printer Ink"/>
    <x v="3"/>
    <n v="14"/>
    <n v="1257"/>
    <n v="17598"/>
    <d v="2024-08-13T00:00:00"/>
    <x v="2"/>
    <x v="7"/>
  </r>
  <r>
    <x v="293"/>
    <s v="Printer"/>
    <x v="4"/>
    <n v="12"/>
    <n v="19213"/>
    <n v="230556"/>
    <d v="2024-01-15T00:00:00"/>
    <x v="3"/>
    <x v="17"/>
  </r>
  <r>
    <x v="294"/>
    <s v="Laptop Bag"/>
    <x v="5"/>
    <n v="15"/>
    <n v="227"/>
    <n v="3405"/>
    <d v="2024-12-30T00:00:00"/>
    <x v="0"/>
    <x v="14"/>
  </r>
  <r>
    <x v="295"/>
    <s v="Whiteboard"/>
    <x v="0"/>
    <n v="5"/>
    <n v="10914"/>
    <n v="5457"/>
    <d v="2024-09-28T00:00:00"/>
    <x v="4"/>
    <x v="14"/>
  </r>
  <r>
    <x v="296"/>
    <s v="Annual Software License"/>
    <x v="2"/>
    <n v="1"/>
    <n v="950377"/>
    <n v="950377"/>
    <d v="2024-11-15T00:00:00"/>
    <x v="4"/>
    <x v="11"/>
  </r>
  <r>
    <x v="297"/>
    <s v="Annual Software License"/>
    <x v="2"/>
    <n v="1"/>
    <n v="548981"/>
    <n v="548981"/>
    <d v="2024-11-02T00:00:00"/>
    <x v="0"/>
    <x v="4"/>
  </r>
  <r>
    <x v="298"/>
    <s v="Notepad"/>
    <x v="3"/>
    <n v="11"/>
    <n v="123"/>
    <n v="1353"/>
    <d v="2024-07-25T00:00:00"/>
    <x v="4"/>
    <x v="11"/>
  </r>
  <r>
    <x v="299"/>
    <s v="Laptop"/>
    <x v="4"/>
    <n v="1"/>
    <n v="87195"/>
    <n v="87195"/>
    <d v="2024-11-25T00:00:00"/>
    <x v="3"/>
    <x v="12"/>
  </r>
  <r>
    <x v="300"/>
    <s v="Printer"/>
    <x v="4"/>
    <n v="3"/>
    <n v="17961"/>
    <n v="53883"/>
    <d v="2024-11-25T00:00:00"/>
    <x v="1"/>
    <x v="9"/>
  </r>
  <r>
    <x v="301"/>
    <s v="Printer"/>
    <x v="4"/>
    <n v="13"/>
    <n v="2345"/>
    <n v="30485"/>
    <d v="2024-05-04T00:00:00"/>
    <x v="1"/>
    <x v="2"/>
  </r>
  <r>
    <x v="302"/>
    <s v="Laptop Bag"/>
    <x v="5"/>
    <n v="18"/>
    <n v="4231"/>
    <n v="76158"/>
    <d v="2024-08-14T00:00:00"/>
    <x v="0"/>
    <x v="5"/>
  </r>
  <r>
    <x v="303"/>
    <s v="Monitor"/>
    <x v="4"/>
    <n v="11"/>
    <n v="27812"/>
    <n v="305932"/>
    <d v="2024-12-30T00:00:00"/>
    <x v="1"/>
    <x v="16"/>
  </r>
  <r>
    <x v="304"/>
    <s v="Stapler"/>
    <x v="1"/>
    <n v="11"/>
    <n v="546"/>
    <n v="6006"/>
    <d v="2024-05-15T00:00:00"/>
    <x v="0"/>
    <x v="6"/>
  </r>
  <r>
    <x v="305"/>
    <s v="Monitor"/>
    <x v="4"/>
    <n v="11"/>
    <n v="33361"/>
    <n v="366971"/>
    <d v="2024-01-02T00:00:00"/>
    <x v="2"/>
    <x v="18"/>
  </r>
  <r>
    <x v="306"/>
    <s v="Annual Software License"/>
    <x v="2"/>
    <n v="1"/>
    <n v="545458"/>
    <n v="545458"/>
    <d v="2024-08-19T00:00:00"/>
    <x v="0"/>
    <x v="0"/>
  </r>
  <r>
    <x v="307"/>
    <s v="Printer Ink"/>
    <x v="3"/>
    <n v="6"/>
    <n v="1983"/>
    <n v="11898"/>
    <d v="2024-04-08T00:00:00"/>
    <x v="2"/>
    <x v="3"/>
  </r>
  <r>
    <x v="308"/>
    <s v="Monitor"/>
    <x v="4"/>
    <n v="18"/>
    <n v="24614"/>
    <n v="443052"/>
    <d v="2024-01-14T00:00:00"/>
    <x v="1"/>
    <x v="2"/>
  </r>
  <r>
    <x v="309"/>
    <s v="Laptop Bag"/>
    <x v="5"/>
    <n v="4"/>
    <n v="3413"/>
    <n v="13652"/>
    <d v="2024-01-15T00:00:00"/>
    <x v="1"/>
    <x v="0"/>
  </r>
  <r>
    <x v="310"/>
    <s v="Laptop Bag"/>
    <x v="5"/>
    <n v="15"/>
    <n v="2114"/>
    <n v="3171"/>
    <d v="2024-10-29T00:00:00"/>
    <x v="4"/>
    <x v="8"/>
  </r>
  <r>
    <x v="311"/>
    <s v="Printer"/>
    <x v="4"/>
    <n v="19"/>
    <n v="20337"/>
    <n v="386403"/>
    <d v="2024-03-19T00:00:00"/>
    <x v="1"/>
    <x v="17"/>
  </r>
  <r>
    <x v="312"/>
    <s v="Whiteboard"/>
    <x v="0"/>
    <n v="14"/>
    <n v="19935"/>
    <n v="27909"/>
    <d v="2024-04-02T00:00:00"/>
    <x v="4"/>
    <x v="2"/>
  </r>
  <r>
    <x v="313"/>
    <s v="Annual Software License"/>
    <x v="2"/>
    <n v="1"/>
    <n v="72291"/>
    <n v="72291"/>
    <d v="2024-05-12T00:00:00"/>
    <x v="3"/>
    <x v="13"/>
  </r>
  <r>
    <x v="314"/>
    <s v="Stapler"/>
    <x v="1"/>
    <n v="5"/>
    <n v="962"/>
    <n v="481"/>
    <d v="2024-02-03T00:00:00"/>
    <x v="4"/>
    <x v="7"/>
  </r>
  <r>
    <x v="315"/>
    <s v="Laptop"/>
    <x v="4"/>
    <n v="1"/>
    <n v="89636"/>
    <n v="89636"/>
    <d v="2024-03-01T00:00:00"/>
    <x v="4"/>
    <x v="3"/>
  </r>
  <r>
    <x v="316"/>
    <s v="Notepad"/>
    <x v="3"/>
    <n v="18"/>
    <n v="177"/>
    <n v="3186"/>
    <d v="2024-04-14T00:00:00"/>
    <x v="3"/>
    <x v="1"/>
  </r>
  <r>
    <x v="317"/>
    <s v="Desk Chair"/>
    <x v="0"/>
    <n v="19"/>
    <n v="15361"/>
    <n v="291859"/>
    <d v="2024-06-08T00:00:00"/>
    <x v="2"/>
    <x v="11"/>
  </r>
  <r>
    <x v="318"/>
    <s v="Whiteboard"/>
    <x v="0"/>
    <n v="10"/>
    <n v="10863"/>
    <n v="10863"/>
    <d v="2024-03-22T00:00:00"/>
    <x v="3"/>
    <x v="7"/>
  </r>
  <r>
    <x v="319"/>
    <s v="Printer Ink"/>
    <x v="3"/>
    <n v="2"/>
    <n v="1946"/>
    <n v="3892"/>
    <d v="2024-08-16T00:00:00"/>
    <x v="1"/>
    <x v="15"/>
  </r>
  <r>
    <x v="320"/>
    <s v="Laptop"/>
    <x v="4"/>
    <n v="18"/>
    <n v="87619"/>
    <n v="1577142"/>
    <d v="2024-07-10T00:00:00"/>
    <x v="0"/>
    <x v="15"/>
  </r>
  <r>
    <x v="321"/>
    <s v="Printer"/>
    <x v="4"/>
    <n v="11"/>
    <n v="16218"/>
    <n v="178398"/>
    <d v="2024-10-10T00:00:00"/>
    <x v="3"/>
    <x v="18"/>
  </r>
  <r>
    <x v="322"/>
    <s v="Notepad"/>
    <x v="3"/>
    <n v="1"/>
    <n v="156"/>
    <n v="156"/>
    <d v="2024-08-29T00:00:00"/>
    <x v="0"/>
    <x v="11"/>
  </r>
  <r>
    <x v="323"/>
    <s v="Notepad"/>
    <x v="3"/>
    <n v="3"/>
    <n v="106"/>
    <n v="318"/>
    <d v="2024-07-14T00:00:00"/>
    <x v="3"/>
    <x v="9"/>
  </r>
  <r>
    <x v="324"/>
    <s v="Annual Software License"/>
    <x v="2"/>
    <n v="1"/>
    <n v="893702"/>
    <n v="893702"/>
    <d v="2024-02-13T00:00:00"/>
    <x v="4"/>
    <x v="15"/>
  </r>
  <r>
    <x v="325"/>
    <s v="Notepad"/>
    <x v="3"/>
    <n v="17"/>
    <n v="197"/>
    <n v="3349"/>
    <d v="2024-03-19T00:00:00"/>
    <x v="4"/>
    <x v="11"/>
  </r>
  <r>
    <x v="326"/>
    <s v="Desk Chair"/>
    <x v="0"/>
    <n v="17"/>
    <n v="14952"/>
    <n v="254184"/>
    <d v="2024-12-25T00:00:00"/>
    <x v="0"/>
    <x v="7"/>
  </r>
  <r>
    <x v="327"/>
    <s v="Printer"/>
    <x v="4"/>
    <n v="11"/>
    <n v="15083"/>
    <n v="165913"/>
    <d v="2024-07-02T00:00:00"/>
    <x v="2"/>
    <x v="19"/>
  </r>
  <r>
    <x v="328"/>
    <s v="Laptop Bag"/>
    <x v="5"/>
    <n v="19"/>
    <n v="2541"/>
    <n v="48279"/>
    <d v="2024-03-11T00:00:00"/>
    <x v="2"/>
    <x v="7"/>
  </r>
  <r>
    <x v="329"/>
    <s v="Annual Software License"/>
    <x v="2"/>
    <n v="1"/>
    <n v="700006"/>
    <n v="700006"/>
    <d v="2024-01-05T00:00:00"/>
    <x v="1"/>
    <x v="2"/>
  </r>
  <r>
    <x v="330"/>
    <s v="Printer Ink"/>
    <x v="3"/>
    <n v="9"/>
    <n v="1927"/>
    <n v="17343"/>
    <d v="2024-08-26T00:00:00"/>
    <x v="3"/>
    <x v="6"/>
  </r>
  <r>
    <x v="331"/>
    <s v="Laptop Bag"/>
    <x v="5"/>
    <n v="2"/>
    <n v="4162"/>
    <n v="8324"/>
    <d v="2024-12-01T00:00:00"/>
    <x v="4"/>
    <x v="10"/>
  </r>
  <r>
    <x v="332"/>
    <s v="Laptop"/>
    <x v="4"/>
    <n v="3"/>
    <n v="9661"/>
    <n v="28983"/>
    <d v="2024-09-15T00:00:00"/>
    <x v="1"/>
    <x v="15"/>
  </r>
  <r>
    <x v="333"/>
    <s v="Desk Chair"/>
    <x v="0"/>
    <n v="16"/>
    <n v="12725"/>
    <n v="20360"/>
    <d v="2024-09-15T00:00:00"/>
    <x v="1"/>
    <x v="14"/>
  </r>
  <r>
    <x v="334"/>
    <s v="Laptop"/>
    <x v="4"/>
    <n v="16"/>
    <n v="96028"/>
    <n v="1536448"/>
    <d v="2024-09-08T00:00:00"/>
    <x v="3"/>
    <x v="12"/>
  </r>
  <r>
    <x v="335"/>
    <s v="Printer"/>
    <x v="4"/>
    <n v="1"/>
    <n v="26547"/>
    <n v="26547"/>
    <d v="2024-12-17T00:00:00"/>
    <x v="1"/>
    <x v="4"/>
  </r>
  <r>
    <x v="336"/>
    <s v="Stapler"/>
    <x v="1"/>
    <n v="5"/>
    <n v="952"/>
    <n v="476"/>
    <d v="2024-02-08T00:00:00"/>
    <x v="1"/>
    <x v="15"/>
  </r>
  <r>
    <x v="337"/>
    <s v="Monitor"/>
    <x v="4"/>
    <n v="2"/>
    <n v="30104"/>
    <n v="60208"/>
    <d v="2024-01-16T00:00:00"/>
    <x v="2"/>
    <x v="1"/>
  </r>
  <r>
    <x v="338"/>
    <s v="Annual Software License"/>
    <x v="2"/>
    <n v="1"/>
    <n v="96224"/>
    <n v="96224"/>
    <d v="2024-06-15T00:00:00"/>
    <x v="4"/>
    <x v="2"/>
  </r>
  <r>
    <x v="339"/>
    <s v="Printer Ink"/>
    <x v="3"/>
    <n v="16"/>
    <n v="1146"/>
    <n v="18336"/>
    <d v="2024-08-25T00:00:00"/>
    <x v="2"/>
    <x v="8"/>
  </r>
  <r>
    <x v="340"/>
    <s v="Annual Software License"/>
    <x v="2"/>
    <n v="1"/>
    <n v="639536"/>
    <n v="639536"/>
    <d v="2024-10-12T00:00:00"/>
    <x v="3"/>
    <x v="1"/>
  </r>
  <r>
    <x v="341"/>
    <s v="Whiteboard"/>
    <x v="0"/>
    <n v="17"/>
    <n v="17345"/>
    <n v="294865"/>
    <d v="2024-06-29T00:00:00"/>
    <x v="4"/>
    <x v="0"/>
  </r>
  <r>
    <x v="342"/>
    <s v="Stapler"/>
    <x v="1"/>
    <n v="3"/>
    <n v="1016"/>
    <n v="3048"/>
    <d v="2024-01-10T00:00:00"/>
    <x v="4"/>
    <x v="6"/>
  </r>
  <r>
    <x v="343"/>
    <s v="Laptop Bag"/>
    <x v="5"/>
    <n v="4"/>
    <n v="451"/>
    <n v="1804"/>
    <d v="2024-01-02T00:00:00"/>
    <x v="0"/>
    <x v="0"/>
  </r>
  <r>
    <x v="344"/>
    <s v="Laptop Bag"/>
    <x v="5"/>
    <n v="3"/>
    <n v="3904"/>
    <n v="11712"/>
    <d v="2024-03-05T00:00:00"/>
    <x v="2"/>
    <x v="12"/>
  </r>
  <r>
    <x v="345"/>
    <s v="Whiteboard"/>
    <x v="0"/>
    <n v="13"/>
    <n v="16364"/>
    <n v="212732"/>
    <d v="2024-03-11T00:00:00"/>
    <x v="0"/>
    <x v="7"/>
  </r>
  <r>
    <x v="346"/>
    <s v="Whiteboard"/>
    <x v="0"/>
    <n v="2"/>
    <n v="17107"/>
    <n v="34214"/>
    <d v="2024-10-27T00:00:00"/>
    <x v="3"/>
    <x v="1"/>
  </r>
  <r>
    <x v="347"/>
    <s v="Printer"/>
    <x v="4"/>
    <n v="1"/>
    <n v="25366"/>
    <n v="25366"/>
    <d v="2024-05-17T00:00:00"/>
    <x v="3"/>
    <x v="8"/>
  </r>
  <r>
    <x v="348"/>
    <s v="Laptop"/>
    <x v="4"/>
    <n v="15"/>
    <n v="90698"/>
    <n v="136047"/>
    <d v="2024-02-27T00:00:00"/>
    <x v="1"/>
    <x v="11"/>
  </r>
  <r>
    <x v="349"/>
    <s v="Stapler"/>
    <x v="1"/>
    <n v="1"/>
    <n v="1031"/>
    <n v="1031"/>
    <d v="2024-05-06T00:00:00"/>
    <x v="4"/>
    <x v="2"/>
  </r>
  <r>
    <x v="350"/>
    <s v="Whiteboard"/>
    <x v="0"/>
    <n v="14"/>
    <n v="16709"/>
    <n v="233926"/>
    <d v="2024-02-14T00:00:00"/>
    <x v="4"/>
    <x v="0"/>
  </r>
  <r>
    <x v="351"/>
    <s v="Whiteboard"/>
    <x v="0"/>
    <n v="8"/>
    <n v="14093"/>
    <n v="112744"/>
    <d v="2024-04-03T00:00:00"/>
    <x v="2"/>
    <x v="7"/>
  </r>
  <r>
    <x v="352"/>
    <s v="Printer Ink"/>
    <x v="3"/>
    <n v="19"/>
    <n v="1835"/>
    <n v="34865"/>
    <d v="2024-10-17T00:00:00"/>
    <x v="3"/>
    <x v="7"/>
  </r>
  <r>
    <x v="353"/>
    <s v="Printer"/>
    <x v="4"/>
    <n v="14"/>
    <n v="20908"/>
    <n v="292712"/>
    <d v="2024-07-08T00:00:00"/>
    <x v="4"/>
    <x v="7"/>
  </r>
  <r>
    <x v="354"/>
    <s v="Desk Chair"/>
    <x v="0"/>
    <n v="11"/>
    <n v="1735"/>
    <n v="19085"/>
    <d v="2024-08-21T00:00:00"/>
    <x v="2"/>
    <x v="17"/>
  </r>
  <r>
    <x v="355"/>
    <s v="Printer Ink"/>
    <x v="3"/>
    <n v="8"/>
    <n v="1549"/>
    <n v="12392"/>
    <d v="2024-05-06T00:00:00"/>
    <x v="4"/>
    <x v="11"/>
  </r>
  <r>
    <x v="356"/>
    <s v="Desk Chair"/>
    <x v="0"/>
    <n v="18"/>
    <n v="12564"/>
    <n v="226152"/>
    <d v="2024-09-04T00:00:00"/>
    <x v="1"/>
    <x v="10"/>
  </r>
  <r>
    <x v="357"/>
    <s v="Printer"/>
    <x v="4"/>
    <n v="5"/>
    <n v="22758"/>
    <n v="11379"/>
    <d v="2024-09-14T00:00:00"/>
    <x v="3"/>
    <x v="17"/>
  </r>
  <r>
    <x v="358"/>
    <s v="Desk Chair"/>
    <x v="0"/>
    <n v="1"/>
    <n v="13895"/>
    <n v="13895"/>
    <d v="2024-08-30T00:00:00"/>
    <x v="4"/>
    <x v="2"/>
  </r>
  <r>
    <x v="359"/>
    <s v="Desk Chair"/>
    <x v="0"/>
    <n v="19"/>
    <n v="15709"/>
    <n v="298471"/>
    <d v="2024-12-02T00:00:00"/>
    <x v="3"/>
    <x v="5"/>
  </r>
  <r>
    <x v="360"/>
    <s v="Laptop"/>
    <x v="4"/>
    <n v="14"/>
    <n v="89547"/>
    <n v="1253658"/>
    <d v="2024-04-18T00:00:00"/>
    <x v="0"/>
    <x v="8"/>
  </r>
  <r>
    <x v="361"/>
    <s v="Laptop Bag"/>
    <x v="5"/>
    <n v="20"/>
    <n v="4545"/>
    <n v="9090"/>
    <d v="2024-06-23T00:00:00"/>
    <x v="0"/>
    <x v="5"/>
  </r>
  <r>
    <x v="362"/>
    <s v="Laptop Bag"/>
    <x v="5"/>
    <n v="15"/>
    <n v="3319"/>
    <n v="49785"/>
    <d v="2024-02-04T00:00:00"/>
    <x v="0"/>
    <x v="5"/>
  </r>
  <r>
    <x v="363"/>
    <s v="Laptop Bag"/>
    <x v="5"/>
    <n v="14"/>
    <n v="2583"/>
    <n v="36162"/>
    <d v="2024-10-27T00:00:00"/>
    <x v="2"/>
    <x v="9"/>
  </r>
  <r>
    <x v="364"/>
    <s v="Laptop"/>
    <x v="4"/>
    <n v="16"/>
    <n v="8110"/>
    <n v="129760"/>
    <d v="2024-03-18T00:00:00"/>
    <x v="2"/>
    <x v="5"/>
  </r>
  <r>
    <x v="365"/>
    <s v="Printer"/>
    <x v="4"/>
    <n v="3"/>
    <n v="23258"/>
    <n v="69774"/>
    <d v="2024-01-06T00:00:00"/>
    <x v="2"/>
    <x v="11"/>
  </r>
  <r>
    <x v="366"/>
    <s v="Laptop"/>
    <x v="4"/>
    <n v="1"/>
    <n v="9357"/>
    <n v="9357"/>
    <d v="2024-11-30T00:00:00"/>
    <x v="0"/>
    <x v="0"/>
  </r>
  <r>
    <x v="367"/>
    <s v="Laptop"/>
    <x v="4"/>
    <n v="9"/>
    <n v="93122"/>
    <n v="838098"/>
    <d v="2024-01-30T00:00:00"/>
    <x v="4"/>
    <x v="0"/>
  </r>
  <r>
    <x v="368"/>
    <s v="Printer"/>
    <x v="4"/>
    <n v="9"/>
    <n v="29175"/>
    <n v="262575"/>
    <d v="2024-01-09T00:00:00"/>
    <x v="4"/>
    <x v="4"/>
  </r>
  <r>
    <x v="369"/>
    <s v="Stapler"/>
    <x v="1"/>
    <n v="14"/>
    <n v="1115"/>
    <n v="1561"/>
    <d v="2024-05-12T00:00:00"/>
    <x v="3"/>
    <x v="11"/>
  </r>
  <r>
    <x v="370"/>
    <s v="Desk Chair"/>
    <x v="0"/>
    <n v="17"/>
    <n v="16016"/>
    <n v="272272"/>
    <d v="2024-11-14T00:00:00"/>
    <x v="4"/>
    <x v="19"/>
  </r>
  <r>
    <x v="371"/>
    <s v="Printer Ink"/>
    <x v="3"/>
    <n v="4"/>
    <n v="1207"/>
    <n v="4828"/>
    <d v="2024-05-03T00:00:00"/>
    <x v="3"/>
    <x v="5"/>
  </r>
  <r>
    <x v="372"/>
    <s v="Notepad"/>
    <x v="3"/>
    <n v="7"/>
    <n v="141"/>
    <n v="987"/>
    <d v="2024-01-17T00:00:00"/>
    <x v="1"/>
    <x v="3"/>
  </r>
  <r>
    <x v="373"/>
    <s v="Whiteboard"/>
    <x v="0"/>
    <n v="2"/>
    <n v="18047"/>
    <n v="36094"/>
    <d v="2024-02-13T00:00:00"/>
    <x v="3"/>
    <x v="18"/>
  </r>
  <r>
    <x v="374"/>
    <s v="Printer Ink"/>
    <x v="3"/>
    <n v="4"/>
    <n v="1992"/>
    <n v="7968"/>
    <d v="2024-06-11T00:00:00"/>
    <x v="0"/>
    <x v="6"/>
  </r>
  <r>
    <x v="375"/>
    <s v="Monitor"/>
    <x v="4"/>
    <n v="1"/>
    <n v="25454"/>
    <n v="25454"/>
    <d v="2024-01-11T00:00:00"/>
    <x v="4"/>
    <x v="8"/>
  </r>
  <r>
    <x v="376"/>
    <s v="Printer"/>
    <x v="4"/>
    <n v="19"/>
    <n v="28665"/>
    <n v="544635"/>
    <d v="2024-05-14T00:00:00"/>
    <x v="4"/>
    <x v="0"/>
  </r>
  <r>
    <x v="377"/>
    <s v="Desk Chair"/>
    <x v="0"/>
    <n v="2"/>
    <n v="19959"/>
    <n v="39918"/>
    <d v="2024-01-25T00:00:00"/>
    <x v="4"/>
    <x v="0"/>
  </r>
  <r>
    <x v="378"/>
    <s v="Stapler"/>
    <x v="1"/>
    <n v="17"/>
    <n v="877"/>
    <n v="14909"/>
    <d v="2024-01-13T00:00:00"/>
    <x v="4"/>
    <x v="3"/>
  </r>
  <r>
    <x v="379"/>
    <s v="Printer"/>
    <x v="4"/>
    <n v="18"/>
    <n v="16863"/>
    <n v="303534"/>
    <d v="2024-09-08T00:00:00"/>
    <x v="0"/>
    <x v="14"/>
  </r>
  <r>
    <x v="380"/>
    <s v="Annual Software License"/>
    <x v="2"/>
    <n v="1"/>
    <n v="665884"/>
    <n v="665884"/>
    <d v="2024-04-25T00:00:00"/>
    <x v="2"/>
    <x v="5"/>
  </r>
  <r>
    <x v="381"/>
    <s v="Printer"/>
    <x v="4"/>
    <n v="9"/>
    <n v="16638"/>
    <n v="149742"/>
    <d v="2024-03-06T00:00:00"/>
    <x v="3"/>
    <x v="8"/>
  </r>
  <r>
    <x v="382"/>
    <s v="Laptop"/>
    <x v="4"/>
    <n v="13"/>
    <n v="8859"/>
    <n v="115167"/>
    <d v="2024-12-22T00:00:00"/>
    <x v="4"/>
    <x v="9"/>
  </r>
  <r>
    <x v="383"/>
    <s v="Monitor"/>
    <x v="4"/>
    <n v="3"/>
    <n v="3633"/>
    <n v="10899"/>
    <d v="2024-07-28T00:00:00"/>
    <x v="0"/>
    <x v="8"/>
  </r>
  <r>
    <x v="384"/>
    <s v="Whiteboard"/>
    <x v="0"/>
    <n v="3"/>
    <n v="12209"/>
    <n v="36627"/>
    <d v="2024-04-25T00:00:00"/>
    <x v="4"/>
    <x v="2"/>
  </r>
  <r>
    <x v="385"/>
    <s v="Printer"/>
    <x v="4"/>
    <n v="10"/>
    <n v="17114"/>
    <n v="17114"/>
    <d v="2024-03-01T00:00:00"/>
    <x v="3"/>
    <x v="0"/>
  </r>
  <r>
    <x v="386"/>
    <s v="Laptop"/>
    <x v="4"/>
    <n v="8"/>
    <n v="94948"/>
    <n v="759584"/>
    <d v="2024-05-22T00:00:00"/>
    <x v="0"/>
    <x v="4"/>
  </r>
  <r>
    <x v="387"/>
    <s v="Annual Software License"/>
    <x v="2"/>
    <n v="1"/>
    <n v="528447"/>
    <n v="528447"/>
    <d v="2024-07-19T00:00:00"/>
    <x v="1"/>
    <x v="11"/>
  </r>
  <r>
    <x v="388"/>
    <s v="Laptop Bag"/>
    <x v="5"/>
    <n v="18"/>
    <n v="4354"/>
    <n v="78372"/>
    <d v="2024-03-27T00:00:00"/>
    <x v="2"/>
    <x v="7"/>
  </r>
  <r>
    <x v="389"/>
    <s v="Monitor"/>
    <x v="4"/>
    <n v="13"/>
    <n v="32575"/>
    <n v="423475"/>
    <d v="2024-07-06T00:00:00"/>
    <x v="0"/>
    <x v="3"/>
  </r>
  <r>
    <x v="390"/>
    <s v="Stapler"/>
    <x v="1"/>
    <n v="3"/>
    <n v="106"/>
    <n v="318"/>
    <d v="2024-06-01T00:00:00"/>
    <x v="4"/>
    <x v="16"/>
  </r>
  <r>
    <x v="391"/>
    <s v="Notepad"/>
    <x v="3"/>
    <n v="14"/>
    <n v="161"/>
    <n v="2254"/>
    <d v="2024-05-01T00:00:00"/>
    <x v="0"/>
    <x v="11"/>
  </r>
  <r>
    <x v="392"/>
    <s v="Whiteboard"/>
    <x v="0"/>
    <n v="13"/>
    <n v="14983"/>
    <n v="194779"/>
    <d v="2024-01-16T00:00:00"/>
    <x v="4"/>
    <x v="2"/>
  </r>
  <r>
    <x v="393"/>
    <s v="Monitor"/>
    <x v="4"/>
    <n v="12"/>
    <n v="26286"/>
    <n v="315432"/>
    <d v="2024-11-21T00:00:00"/>
    <x v="2"/>
    <x v="3"/>
  </r>
  <r>
    <x v="394"/>
    <s v="Annual Software License"/>
    <x v="2"/>
    <n v="1"/>
    <n v="955005"/>
    <n v="955005"/>
    <d v="2024-05-12T00:00:00"/>
    <x v="2"/>
    <x v="13"/>
  </r>
  <r>
    <x v="395"/>
    <s v="Monitor"/>
    <x v="4"/>
    <n v="3"/>
    <n v="29424"/>
    <n v="88272"/>
    <d v="2024-03-10T00:00:00"/>
    <x v="2"/>
    <x v="14"/>
  </r>
  <r>
    <x v="396"/>
    <s v="Whiteboard"/>
    <x v="0"/>
    <n v="2"/>
    <n v="13313"/>
    <n v="26626"/>
    <d v="2024-11-22T00:00:00"/>
    <x v="4"/>
    <x v="14"/>
  </r>
  <r>
    <x v="397"/>
    <s v="Whiteboard"/>
    <x v="0"/>
    <n v="19"/>
    <n v="16668"/>
    <n v="316692"/>
    <d v="2024-09-01T00:00:00"/>
    <x v="2"/>
    <x v="8"/>
  </r>
  <r>
    <x v="398"/>
    <s v="Notepad"/>
    <x v="3"/>
    <n v="6"/>
    <n v="156"/>
    <n v="936"/>
    <d v="2024-12-12T00:00:00"/>
    <x v="4"/>
    <x v="19"/>
  </r>
  <r>
    <x v="399"/>
    <s v="Printer"/>
    <x v="4"/>
    <n v="2"/>
    <n v="21962"/>
    <n v="43924"/>
    <d v="2024-09-12T00:00:00"/>
    <x v="0"/>
    <x v="12"/>
  </r>
  <r>
    <x v="400"/>
    <s v="Laptop Bag"/>
    <x v="5"/>
    <n v="9"/>
    <n v="2203"/>
    <n v="19827"/>
    <d v="2024-07-10T00:00:00"/>
    <x v="3"/>
    <x v="8"/>
  </r>
  <r>
    <x v="401"/>
    <s v="Printer"/>
    <x v="4"/>
    <n v="11"/>
    <n v="24971"/>
    <n v="274681"/>
    <d v="2024-11-20T00:00:00"/>
    <x v="4"/>
    <x v="8"/>
  </r>
  <r>
    <x v="402"/>
    <s v="Stapler"/>
    <x v="1"/>
    <n v="9"/>
    <n v="79"/>
    <n v="711"/>
    <d v="2024-11-20T00:00:00"/>
    <x v="1"/>
    <x v="9"/>
  </r>
  <r>
    <x v="403"/>
    <s v="Laptop"/>
    <x v="4"/>
    <n v="20"/>
    <n v="92473"/>
    <n v="184946"/>
    <d v="2024-05-21T00:00:00"/>
    <x v="1"/>
    <x v="8"/>
  </r>
  <r>
    <x v="404"/>
    <s v="Annual Software License"/>
    <x v="2"/>
    <n v="1"/>
    <n v="743094"/>
    <n v="743094"/>
    <d v="2024-04-09T00:00:00"/>
    <x v="3"/>
    <x v="1"/>
  </r>
  <r>
    <x v="405"/>
    <s v="Laptop"/>
    <x v="4"/>
    <n v="5"/>
    <n v="84012"/>
    <n v="42006"/>
    <d v="2024-09-27T00:00:00"/>
    <x v="0"/>
    <x v="0"/>
  </r>
  <r>
    <x v="406"/>
    <s v="Notepad"/>
    <x v="3"/>
    <n v="16"/>
    <n v="267"/>
    <n v="4272"/>
    <d v="2024-03-10T00:00:00"/>
    <x v="0"/>
    <x v="11"/>
  </r>
  <r>
    <x v="407"/>
    <s v="Monitor"/>
    <x v="4"/>
    <n v="11"/>
    <n v="2301"/>
    <n v="25311"/>
    <d v="2024-12-24T00:00:00"/>
    <x v="0"/>
    <x v="7"/>
  </r>
  <r>
    <x v="408"/>
    <s v="Laptop Bag"/>
    <x v="5"/>
    <n v="16"/>
    <n v="306"/>
    <n v="4896"/>
    <d v="2024-11-11T00:00:00"/>
    <x v="1"/>
    <x v="0"/>
  </r>
  <r>
    <x v="409"/>
    <s v="Notepad"/>
    <x v="3"/>
    <n v="20"/>
    <n v="129"/>
    <n v="258"/>
    <d v="2024-05-04T00:00:00"/>
    <x v="0"/>
    <x v="0"/>
  </r>
  <r>
    <x v="410"/>
    <s v="Laptop"/>
    <x v="4"/>
    <n v="12"/>
    <n v="85591"/>
    <n v="1027092"/>
    <d v="2024-03-22T00:00:00"/>
    <x v="3"/>
    <x v="1"/>
  </r>
  <r>
    <x v="411"/>
    <s v="Printer"/>
    <x v="4"/>
    <n v="20"/>
    <n v="22582"/>
    <n v="45164"/>
    <d v="2024-03-15T00:00:00"/>
    <x v="2"/>
    <x v="5"/>
  </r>
  <r>
    <x v="412"/>
    <s v="Whiteboard"/>
    <x v="0"/>
    <n v="16"/>
    <n v="14062"/>
    <n v="224992"/>
    <d v="2024-03-07T00:00:00"/>
    <x v="4"/>
    <x v="5"/>
  </r>
  <r>
    <x v="413"/>
    <s v="Monitor"/>
    <x v="4"/>
    <n v="12"/>
    <n v="37017"/>
    <n v="444204"/>
    <d v="2024-11-04T00:00:00"/>
    <x v="2"/>
    <x v="6"/>
  </r>
  <r>
    <x v="414"/>
    <s v="Stapler"/>
    <x v="1"/>
    <n v="14"/>
    <n v="84"/>
    <n v="1176"/>
    <d v="2024-09-30T00:00:00"/>
    <x v="2"/>
    <x v="9"/>
  </r>
  <r>
    <x v="415"/>
    <s v="Stapler"/>
    <x v="1"/>
    <n v="19"/>
    <n v="1271"/>
    <n v="24149"/>
    <d v="2024-01-29T00:00:00"/>
    <x v="4"/>
    <x v="6"/>
  </r>
  <r>
    <x v="416"/>
    <s v="Printer Ink"/>
    <x v="3"/>
    <n v="2"/>
    <n v="1849"/>
    <n v="3698"/>
    <d v="2024-03-25T00:00:00"/>
    <x v="1"/>
    <x v="17"/>
  </r>
  <r>
    <x v="417"/>
    <s v="Monitor"/>
    <x v="4"/>
    <n v="6"/>
    <n v="23451"/>
    <n v="140706"/>
    <d v="2024-02-03T00:00:00"/>
    <x v="0"/>
    <x v="0"/>
  </r>
  <r>
    <x v="418"/>
    <s v="Whiteboard"/>
    <x v="0"/>
    <n v="13"/>
    <n v="1980"/>
    <n v="25740"/>
    <d v="2024-07-18T00:00:00"/>
    <x v="0"/>
    <x v="3"/>
  </r>
  <r>
    <x v="419"/>
    <s v="Laptop"/>
    <x v="4"/>
    <n v="5"/>
    <n v="87661"/>
    <n v="438305"/>
    <d v="2024-12-20T00:00:00"/>
    <x v="1"/>
    <x v="0"/>
  </r>
  <r>
    <x v="420"/>
    <s v="Monitor"/>
    <x v="4"/>
    <n v="5"/>
    <n v="31406"/>
    <n v="15703"/>
    <d v="2024-07-07T00:00:00"/>
    <x v="4"/>
    <x v="8"/>
  </r>
  <r>
    <x v="421"/>
    <s v="Stapler"/>
    <x v="1"/>
    <n v="9"/>
    <n v="749"/>
    <n v="6741"/>
    <d v="2024-01-23T00:00:00"/>
    <x v="3"/>
    <x v="3"/>
  </r>
  <r>
    <x v="422"/>
    <s v="Laptop Bag"/>
    <x v="5"/>
    <n v="18"/>
    <n v="2648"/>
    <n v="47664"/>
    <d v="2024-12-22T00:00:00"/>
    <x v="0"/>
    <x v="17"/>
  </r>
  <r>
    <x v="423"/>
    <s v="Printer Ink"/>
    <x v="3"/>
    <n v="5"/>
    <n v="1861"/>
    <n v="9305"/>
    <d v="2024-03-21T00:00:00"/>
    <x v="4"/>
    <x v="14"/>
  </r>
  <r>
    <x v="424"/>
    <s v="Printer Ink"/>
    <x v="3"/>
    <n v="3"/>
    <n v="1822"/>
    <n v="5466"/>
    <d v="2024-01-06T00:00:00"/>
    <x v="3"/>
    <x v="3"/>
  </r>
  <r>
    <x v="425"/>
    <s v="Notepad"/>
    <x v="3"/>
    <n v="17"/>
    <n v="255"/>
    <n v="4335"/>
    <d v="2024-10-31T00:00:00"/>
    <x v="1"/>
    <x v="3"/>
  </r>
  <r>
    <x v="426"/>
    <s v="Annual Software License"/>
    <x v="2"/>
    <n v="1"/>
    <n v="511784"/>
    <n v="511784"/>
    <d v="2024-01-13T00:00:00"/>
    <x v="1"/>
    <x v="8"/>
  </r>
  <r>
    <x v="427"/>
    <s v="Laptop Bag"/>
    <x v="5"/>
    <n v="12"/>
    <n v="203"/>
    <n v="2436"/>
    <d v="2024-04-19T00:00:00"/>
    <x v="2"/>
    <x v="3"/>
  </r>
  <r>
    <x v="428"/>
    <s v="Laptop Bag"/>
    <x v="5"/>
    <n v="18"/>
    <n v="3497"/>
    <n v="62946"/>
    <d v="2024-03-23T00:00:00"/>
    <x v="3"/>
    <x v="4"/>
  </r>
  <r>
    <x v="429"/>
    <s v="Laptop"/>
    <x v="4"/>
    <n v="17"/>
    <n v="84438"/>
    <n v="1435446"/>
    <d v="2024-09-11T00:00:00"/>
    <x v="4"/>
    <x v="3"/>
  </r>
  <r>
    <x v="430"/>
    <s v="Annual Software License"/>
    <x v="2"/>
    <n v="1"/>
    <n v="861742"/>
    <n v="861742"/>
    <d v="2024-09-09T00:00:00"/>
    <x v="0"/>
    <x v="0"/>
  </r>
  <r>
    <x v="431"/>
    <s v="Whiteboard"/>
    <x v="0"/>
    <n v="13"/>
    <n v="11356"/>
    <n v="147628"/>
    <d v="2024-08-10T00:00:00"/>
    <x v="2"/>
    <x v="7"/>
  </r>
  <r>
    <x v="432"/>
    <s v="Stapler"/>
    <x v="1"/>
    <n v="3"/>
    <n v="549"/>
    <n v="1647"/>
    <d v="2024-05-16T00:00:00"/>
    <x v="4"/>
    <x v="17"/>
  </r>
  <r>
    <x v="433"/>
    <s v="Annual Software License"/>
    <x v="2"/>
    <n v="1"/>
    <n v="810462"/>
    <n v="810462"/>
    <d v="2024-10-17T00:00:00"/>
    <x v="2"/>
    <x v="5"/>
  </r>
  <r>
    <x v="434"/>
    <s v="Printer"/>
    <x v="4"/>
    <n v="7"/>
    <n v="26541"/>
    <n v="185787"/>
    <d v="2024-03-18T00:00:00"/>
    <x v="3"/>
    <x v="8"/>
  </r>
  <r>
    <x v="435"/>
    <s v="Laptop"/>
    <x v="4"/>
    <n v="2"/>
    <n v="80652"/>
    <n v="161304"/>
    <d v="2024-05-16T00:00:00"/>
    <x v="4"/>
    <x v="3"/>
  </r>
  <r>
    <x v="436"/>
    <s v="Laptop"/>
    <x v="4"/>
    <n v="9"/>
    <n v="92654"/>
    <n v="833886"/>
    <d v="2024-02-23T00:00:00"/>
    <x v="2"/>
    <x v="18"/>
  </r>
  <r>
    <x v="437"/>
    <s v="Monitor"/>
    <x v="4"/>
    <n v="3"/>
    <n v="24423"/>
    <n v="73269"/>
    <d v="2024-11-07T00:00:00"/>
    <x v="4"/>
    <x v="8"/>
  </r>
  <r>
    <x v="438"/>
    <s v="Printer Ink"/>
    <x v="3"/>
    <n v="12"/>
    <n v="1635"/>
    <n v="1962"/>
    <d v="2024-07-28T00:00:00"/>
    <x v="4"/>
    <x v="1"/>
  </r>
  <r>
    <x v="439"/>
    <s v="Laptop"/>
    <x v="4"/>
    <n v="17"/>
    <n v="93477"/>
    <n v="1589109"/>
    <d v="2024-02-17T00:00:00"/>
    <x v="2"/>
    <x v="17"/>
  </r>
  <r>
    <x v="440"/>
    <s v="Stapler"/>
    <x v="1"/>
    <n v="13"/>
    <n v="1356"/>
    <n v="17628"/>
    <d v="2024-01-04T00:00:00"/>
    <x v="2"/>
    <x v="3"/>
  </r>
  <r>
    <x v="441"/>
    <s v="Printer"/>
    <x v="4"/>
    <n v="6"/>
    <n v="19452"/>
    <n v="116712"/>
    <d v="2024-09-13T00:00:00"/>
    <x v="2"/>
    <x v="9"/>
  </r>
  <r>
    <x v="442"/>
    <s v="Laptop"/>
    <x v="4"/>
    <n v="11"/>
    <n v="96859"/>
    <n v="1065449"/>
    <d v="2024-12-08T00:00:00"/>
    <x v="4"/>
    <x v="17"/>
  </r>
  <r>
    <x v="443"/>
    <s v="Desk Chair"/>
    <x v="0"/>
    <n v="13"/>
    <n v="1546"/>
    <n v="20098"/>
    <d v="2024-08-05T00:00:00"/>
    <x v="4"/>
    <x v="9"/>
  </r>
  <r>
    <x v="444"/>
    <s v="Whiteboard"/>
    <x v="0"/>
    <n v="10"/>
    <n v="1147"/>
    <n v="11470"/>
    <d v="2024-06-14T00:00:00"/>
    <x v="1"/>
    <x v="19"/>
  </r>
  <r>
    <x v="445"/>
    <s v="Laptop"/>
    <x v="4"/>
    <n v="1"/>
    <n v="95339"/>
    <n v="95339"/>
    <d v="2024-12-06T00:00:00"/>
    <x v="3"/>
    <x v="15"/>
  </r>
  <r>
    <x v="446"/>
    <s v="Annual Software License"/>
    <x v="2"/>
    <n v="1"/>
    <n v="673819"/>
    <n v="673819"/>
    <d v="2024-10-18T00:00:00"/>
    <x v="3"/>
    <x v="0"/>
  </r>
  <r>
    <x v="447"/>
    <s v="Notepad"/>
    <x v="3"/>
    <n v="7"/>
    <n v="296"/>
    <n v="2072"/>
    <d v="2024-05-24T00:00:00"/>
    <x v="0"/>
    <x v="11"/>
  </r>
  <r>
    <x v="448"/>
    <s v="Laptop Bag"/>
    <x v="5"/>
    <n v="2"/>
    <n v="390"/>
    <n v="780"/>
    <d v="2024-03-12T00:00:00"/>
    <x v="1"/>
    <x v="16"/>
  </r>
  <r>
    <x v="449"/>
    <s v="Annual Software License"/>
    <x v="2"/>
    <n v="1"/>
    <n v="504701"/>
    <n v="504701"/>
    <d v="2024-09-21T00:00:00"/>
    <x v="3"/>
    <x v="9"/>
  </r>
  <r>
    <x v="450"/>
    <s v="Laptop Bag"/>
    <x v="5"/>
    <n v="6"/>
    <n v="2986"/>
    <n v="17916"/>
    <d v="2024-02-06T00:00:00"/>
    <x v="3"/>
    <x v="10"/>
  </r>
  <r>
    <x v="451"/>
    <s v="Printer"/>
    <x v="4"/>
    <n v="18"/>
    <n v="15201"/>
    <n v="273618"/>
    <d v="2024-03-22T00:00:00"/>
    <x v="4"/>
    <x v="17"/>
  </r>
  <r>
    <x v="452"/>
    <s v="Stapler"/>
    <x v="1"/>
    <n v="6"/>
    <n v="86"/>
    <n v="516"/>
    <d v="2024-09-03T00:00:00"/>
    <x v="2"/>
    <x v="18"/>
  </r>
  <r>
    <x v="453"/>
    <s v="Stapler"/>
    <x v="1"/>
    <n v="16"/>
    <n v="535"/>
    <n v="856"/>
    <d v="2024-07-31T00:00:00"/>
    <x v="1"/>
    <x v="1"/>
  </r>
  <r>
    <x v="454"/>
    <s v="Laptop Bag"/>
    <x v="5"/>
    <n v="4"/>
    <n v="3047"/>
    <n v="12188"/>
    <d v="2024-04-10T00:00:00"/>
    <x v="1"/>
    <x v="4"/>
  </r>
  <r>
    <x v="455"/>
    <s v="Laptop Bag"/>
    <x v="5"/>
    <n v="13"/>
    <n v="4231"/>
    <n v="55003"/>
    <d v="2024-07-12T00:00:00"/>
    <x v="2"/>
    <x v="2"/>
  </r>
  <r>
    <x v="456"/>
    <s v="Monitor"/>
    <x v="4"/>
    <n v="18"/>
    <n v="2558"/>
    <n v="46044"/>
    <d v="2024-10-09T00:00:00"/>
    <x v="0"/>
    <x v="5"/>
  </r>
  <r>
    <x v="457"/>
    <s v="Printer"/>
    <x v="4"/>
    <n v="20"/>
    <n v="20573"/>
    <n v="41146"/>
    <d v="2024-06-04T00:00:00"/>
    <x v="2"/>
    <x v="11"/>
  </r>
  <r>
    <x v="458"/>
    <s v="Annual Software License"/>
    <x v="2"/>
    <n v="1"/>
    <n v="668533"/>
    <n v="668533"/>
    <d v="2024-04-23T00:00:00"/>
    <x v="0"/>
    <x v="19"/>
  </r>
  <r>
    <x v="459"/>
    <s v="Monitor"/>
    <x v="4"/>
    <n v="11"/>
    <n v="2825"/>
    <n v="31075"/>
    <d v="2024-04-02T00:00:00"/>
    <x v="1"/>
    <x v="18"/>
  </r>
  <r>
    <x v="460"/>
    <s v="Printer Ink"/>
    <x v="3"/>
    <n v="14"/>
    <n v="1102"/>
    <n v="15428"/>
    <d v="2024-02-24T00:00:00"/>
    <x v="0"/>
    <x v="15"/>
  </r>
  <r>
    <x v="461"/>
    <s v="Laptop Bag"/>
    <x v="5"/>
    <n v="17"/>
    <n v="3466"/>
    <n v="58922"/>
    <d v="2024-01-13T00:00:00"/>
    <x v="0"/>
    <x v="8"/>
  </r>
  <r>
    <x v="462"/>
    <s v="Notepad"/>
    <x v="3"/>
    <n v="7"/>
    <n v="142"/>
    <n v="994"/>
    <d v="2024-06-04T00:00:00"/>
    <x v="1"/>
    <x v="14"/>
  </r>
  <r>
    <x v="463"/>
    <s v="Notepad"/>
    <x v="3"/>
    <n v="3"/>
    <n v="298"/>
    <n v="894"/>
    <d v="2024-01-20T00:00:00"/>
    <x v="0"/>
    <x v="6"/>
  </r>
  <r>
    <x v="464"/>
    <s v="Stapler"/>
    <x v="1"/>
    <n v="10"/>
    <n v="952"/>
    <n v="952"/>
    <d v="2024-07-18T00:00:00"/>
    <x v="0"/>
    <x v="11"/>
  </r>
  <r>
    <x v="465"/>
    <s v="Desk Chair"/>
    <x v="0"/>
    <n v="7"/>
    <n v="18508"/>
    <n v="129556"/>
    <d v="2024-01-11T00:00:00"/>
    <x v="4"/>
    <x v="14"/>
  </r>
  <r>
    <x v="466"/>
    <s v="Printer Ink"/>
    <x v="3"/>
    <n v="6"/>
    <n v="1763"/>
    <n v="10578"/>
    <d v="2024-06-12T00:00:00"/>
    <x v="1"/>
    <x v="4"/>
  </r>
  <r>
    <x v="467"/>
    <s v="Monitor"/>
    <x v="4"/>
    <n v="17"/>
    <n v="20233"/>
    <n v="343961"/>
    <d v="2024-02-08T00:00:00"/>
    <x v="4"/>
    <x v="7"/>
  </r>
  <r>
    <x v="468"/>
    <s v="Desk Chair"/>
    <x v="0"/>
    <n v="11"/>
    <n v="15066"/>
    <n v="165726"/>
    <d v="2024-03-07T00:00:00"/>
    <x v="3"/>
    <x v="14"/>
  </r>
  <r>
    <x v="469"/>
    <s v="Stapler"/>
    <x v="1"/>
    <n v="10"/>
    <n v="1435"/>
    <n v="1435"/>
    <d v="2024-08-08T00:00:00"/>
    <x v="3"/>
    <x v="8"/>
  </r>
  <r>
    <x v="470"/>
    <s v="Printer Ink"/>
    <x v="3"/>
    <n v="15"/>
    <n v="1814"/>
    <n v="2721"/>
    <d v="2024-07-20T00:00:00"/>
    <x v="1"/>
    <x v="4"/>
  </r>
  <r>
    <x v="471"/>
    <s v="Laptop"/>
    <x v="4"/>
    <n v="18"/>
    <n v="84057"/>
    <n v="1513026"/>
    <d v="2024-03-05T00:00:00"/>
    <x v="0"/>
    <x v="18"/>
  </r>
  <r>
    <x v="472"/>
    <s v="Annual Software License"/>
    <x v="2"/>
    <n v="1"/>
    <n v="515172"/>
    <n v="515172"/>
    <d v="2024-07-29T00:00:00"/>
    <x v="0"/>
    <x v="12"/>
  </r>
  <r>
    <x v="473"/>
    <s v="Notepad"/>
    <x v="3"/>
    <n v="16"/>
    <n v="181"/>
    <n v="2896"/>
    <d v="2024-02-10T00:00:00"/>
    <x v="0"/>
    <x v="3"/>
  </r>
  <r>
    <x v="474"/>
    <s v="Printer Ink"/>
    <x v="3"/>
    <n v="16"/>
    <n v="1312"/>
    <n v="20992"/>
    <d v="2024-09-14T00:00:00"/>
    <x v="1"/>
    <x v="4"/>
  </r>
  <r>
    <x v="475"/>
    <s v="Annual Software License"/>
    <x v="2"/>
    <n v="1"/>
    <n v="515992"/>
    <n v="515992"/>
    <d v="2024-10-11T00:00:00"/>
    <x v="0"/>
    <x v="9"/>
  </r>
  <r>
    <x v="476"/>
    <s v="Laptop Bag"/>
    <x v="5"/>
    <n v="15"/>
    <n v="2166"/>
    <n v="3249"/>
    <d v="2024-12-14T00:00:00"/>
    <x v="3"/>
    <x v="4"/>
  </r>
  <r>
    <x v="477"/>
    <s v="Printer Ink"/>
    <x v="3"/>
    <n v="6"/>
    <n v="1609"/>
    <n v="9654"/>
    <d v="2024-08-10T00:00:00"/>
    <x v="3"/>
    <x v="6"/>
  </r>
  <r>
    <x v="478"/>
    <s v="Stapler"/>
    <x v="1"/>
    <n v="2"/>
    <n v="1414"/>
    <n v="2828"/>
    <d v="2024-12-26T00:00:00"/>
    <x v="4"/>
    <x v="2"/>
  </r>
  <r>
    <x v="479"/>
    <s v="Printer Ink"/>
    <x v="3"/>
    <n v="6"/>
    <n v="1206"/>
    <n v="7236"/>
    <d v="2024-07-28T00:00:00"/>
    <x v="1"/>
    <x v="7"/>
  </r>
  <r>
    <x v="480"/>
    <s v="Stapler"/>
    <x v="1"/>
    <n v="6"/>
    <n v="70"/>
    <n v="420"/>
    <d v="2024-05-12T00:00:00"/>
    <x v="0"/>
    <x v="13"/>
  </r>
  <r>
    <x v="481"/>
    <s v="Printer"/>
    <x v="4"/>
    <n v="16"/>
    <n v="2602"/>
    <n v="41632"/>
    <d v="2024-09-02T00:00:00"/>
    <x v="0"/>
    <x v="7"/>
  </r>
  <r>
    <x v="482"/>
    <s v="Monitor"/>
    <x v="4"/>
    <n v="7"/>
    <n v="34806"/>
    <n v="243642"/>
    <d v="2024-04-25T00:00:00"/>
    <x v="4"/>
    <x v="4"/>
  </r>
  <r>
    <x v="483"/>
    <s v="Printer Ink"/>
    <x v="3"/>
    <n v="10"/>
    <n v="1807"/>
    <n v="1807"/>
    <d v="2024-04-20T00:00:00"/>
    <x v="0"/>
    <x v="10"/>
  </r>
  <r>
    <x v="484"/>
    <s v="Printer"/>
    <x v="4"/>
    <n v="16"/>
    <n v="20015"/>
    <n v="32024"/>
    <d v="2024-10-13T00:00:00"/>
    <x v="3"/>
    <x v="12"/>
  </r>
  <r>
    <x v="485"/>
    <s v="Laptop Bag"/>
    <x v="5"/>
    <n v="19"/>
    <n v="2744"/>
    <n v="52136"/>
    <d v="2024-06-16T00:00:00"/>
    <x v="4"/>
    <x v="14"/>
  </r>
  <r>
    <x v="486"/>
    <s v="Notepad"/>
    <x v="3"/>
    <n v="12"/>
    <n v="124"/>
    <n v="1488"/>
    <d v="2024-08-27T00:00:00"/>
    <x v="3"/>
    <x v="11"/>
  </r>
  <r>
    <x v="487"/>
    <s v="Laptop"/>
    <x v="4"/>
    <n v="18"/>
    <n v="96994"/>
    <n v="1745892"/>
    <d v="2024-06-06T00:00:00"/>
    <x v="0"/>
    <x v="7"/>
  </r>
  <r>
    <x v="488"/>
    <s v="Laptop"/>
    <x v="4"/>
    <n v="15"/>
    <n v="83699"/>
    <n v="1255485"/>
    <d v="2024-12-18T00:00:00"/>
    <x v="1"/>
    <x v="7"/>
  </r>
  <r>
    <x v="489"/>
    <s v="Printer Ink"/>
    <x v="3"/>
    <n v="9"/>
    <n v="1357"/>
    <n v="12213"/>
    <d v="2024-05-28T00:00:00"/>
    <x v="4"/>
    <x v="12"/>
  </r>
  <r>
    <x v="490"/>
    <s v="Laptop Bag"/>
    <x v="5"/>
    <n v="5"/>
    <n v="2067"/>
    <n v="10335"/>
    <d v="2024-04-18T00:00:00"/>
    <x v="4"/>
    <x v="5"/>
  </r>
  <r>
    <x v="491"/>
    <s v="Laptop Bag"/>
    <x v="5"/>
    <n v="16"/>
    <n v="2897"/>
    <n v="46352"/>
    <d v="2024-11-09T00:00:00"/>
    <x v="3"/>
    <x v="14"/>
  </r>
  <r>
    <x v="492"/>
    <s v="Laptop Bag"/>
    <x v="5"/>
    <n v="12"/>
    <n v="2355"/>
    <n v="2826"/>
    <d v="2024-05-19T00:00:00"/>
    <x v="1"/>
    <x v="10"/>
  </r>
  <r>
    <x v="493"/>
    <s v="Printer Ink"/>
    <x v="3"/>
    <n v="4"/>
    <n v="1567"/>
    <n v="6268"/>
    <d v="2024-07-03T00:00:00"/>
    <x v="1"/>
    <x v="4"/>
  </r>
  <r>
    <x v="494"/>
    <s v="Monitor"/>
    <x v="4"/>
    <n v="4"/>
    <n v="31034"/>
    <n v="124136"/>
    <d v="2024-01-09T00:00:00"/>
    <x v="4"/>
    <x v="12"/>
  </r>
  <r>
    <x v="495"/>
    <s v="Whiteboard"/>
    <x v="0"/>
    <n v="19"/>
    <n v="10412"/>
    <n v="197828"/>
    <d v="2024-08-20T00:00:00"/>
    <x v="4"/>
    <x v="17"/>
  </r>
  <r>
    <x v="496"/>
    <s v="Laptop"/>
    <x v="4"/>
    <n v="5"/>
    <n v="91908"/>
    <n v="45954"/>
    <d v="2024-08-15T00:00:00"/>
    <x v="3"/>
    <x v="7"/>
  </r>
  <r>
    <x v="497"/>
    <s v="Notepad"/>
    <x v="3"/>
    <n v="3"/>
    <n v="151"/>
    <n v="453"/>
    <d v="2024-05-12T00:00:00"/>
    <x v="4"/>
    <x v="15"/>
  </r>
  <r>
    <x v="498"/>
    <s v="Whiteboard"/>
    <x v="0"/>
    <n v="17"/>
    <n v="16201"/>
    <n v="275417"/>
    <d v="2024-03-14T00:00:00"/>
    <x v="2"/>
    <x v="13"/>
  </r>
  <r>
    <x v="499"/>
    <s v="Stapler"/>
    <x v="1"/>
    <n v="4"/>
    <n v="1364"/>
    <n v="5456"/>
    <d v="2024-03-02T00:00:00"/>
    <x v="0"/>
    <x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8716F9-B337-4872-A576-13CF5929DCC1}"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0:C27" firstHeaderRow="1" firstDataRow="1" firstDataCol="1"/>
  <pivotFields count="9">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axis="axisRow" showAll="0" sortType="descending">
      <items count="7">
        <item x="5"/>
        <item x="4"/>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4" showAll="0"/>
    <pivotField showAll="0">
      <items count="6">
        <item sd="0" x="1"/>
        <item sd="0" x="2"/>
        <item sd="0" x="3"/>
        <item sd="0" x="4"/>
        <item sd="0" x="0"/>
        <item t="default" sd="0"/>
      </items>
    </pivotField>
    <pivotField showAll="0"/>
  </pivotFields>
  <rowFields count="1">
    <field x="2"/>
  </rowFields>
  <rowItems count="7">
    <i>
      <x v="1"/>
    </i>
    <i>
      <x v="4"/>
    </i>
    <i>
      <x v="2"/>
    </i>
    <i>
      <x/>
    </i>
    <i>
      <x v="5"/>
    </i>
    <i>
      <x v="3"/>
    </i>
    <i t="grand">
      <x/>
    </i>
  </rowItems>
  <colItems count="1">
    <i/>
  </colItems>
  <dataFields count="1">
    <dataField name="Sum of TotalCost" fld="5" baseField="0" baseItem="0" numFmtId="165"/>
  </dataField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ABF858-816C-4DDE-8336-56C276A34E00}" name="PivotTable2"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B3:C10" firstHeaderRow="1" firstDataRow="1" firstDataCol="1"/>
  <pivotFields count="9">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axis="axisRow" showAll="0" sortType="descending">
      <items count="7">
        <item x="5"/>
        <item x="4"/>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4" showAll="0"/>
    <pivotField showAll="0">
      <items count="6">
        <item sd="0" x="1"/>
        <item sd="0" x="2"/>
        <item sd="0" x="3"/>
        <item sd="0" x="4"/>
        <item sd="0" x="0"/>
        <item t="default" sd="0"/>
      </items>
    </pivotField>
    <pivotField showAll="0">
      <items count="21">
        <item x="5"/>
        <item x="10"/>
        <item x="19"/>
        <item x="2"/>
        <item x="9"/>
        <item x="8"/>
        <item x="15"/>
        <item x="12"/>
        <item x="0"/>
        <item x="6"/>
        <item x="14"/>
        <item x="11"/>
        <item x="1"/>
        <item x="18"/>
        <item x="16"/>
        <item x="17"/>
        <item x="13"/>
        <item x="3"/>
        <item x="4"/>
        <item x="7"/>
        <item t="default"/>
      </items>
    </pivotField>
  </pivotFields>
  <rowFields count="1">
    <field x="2"/>
  </rowFields>
  <rowItems count="7">
    <i>
      <x v="1"/>
    </i>
    <i>
      <x v="4"/>
    </i>
    <i>
      <x v="2"/>
    </i>
    <i>
      <x/>
    </i>
    <i>
      <x v="5"/>
    </i>
    <i>
      <x v="3"/>
    </i>
    <i t="grand">
      <x/>
    </i>
  </rowItems>
  <colItems count="1">
    <i/>
  </colItems>
  <dataFields count="1">
    <dataField name="Sum of TotalCost" fld="5" baseField="0" baseItem="0" numFmtId="165"/>
  </dataFields>
  <chartFormats count="1">
    <chartFormat chart="0" format="1"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DD322319-D5C0-4B5F-8AC9-86C174213CB9}" autoFormatId="16" applyNumberFormats="0" applyBorderFormats="0" applyFontFormats="0" applyPatternFormats="0" applyAlignmentFormats="0" applyWidthHeightFormats="0">
  <queryTableRefresh nextId="10">
    <queryTableFields count="9">
      <queryTableField id="1" name="TransactionID" tableColumnId="1"/>
      <queryTableField id="2" name="ItemName" tableColumnId="2"/>
      <queryTableField id="3" name="Category" tableColumnId="3"/>
      <queryTableField id="4" name="Quantity" tableColumnId="4"/>
      <queryTableField id="5" name="UnitPrice" tableColumnId="5"/>
      <queryTableField id="6" name="TotalCost" tableColumnId="6"/>
      <queryTableField id="7" name="PurchaseDate" tableColumnId="7"/>
      <queryTableField id="8" name="Supplier" tableColumnId="8"/>
      <queryTableField id="9" name="Buyer"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yer1" xr10:uid="{0AA92B4E-382A-41EF-A844-EB496018A238}" sourceName="Buyer">
  <pivotTables>
    <pivotTable tabId="6" name="PivotTable2"/>
  </pivotTables>
  <data>
    <tabular pivotCacheId="1025603061">
      <items count="20">
        <i x="5" s="1"/>
        <i x="10" s="1"/>
        <i x="19" s="1"/>
        <i x="2" s="1"/>
        <i x="9" s="1"/>
        <i x="8" s="1"/>
        <i x="15" s="1"/>
        <i x="12" s="1"/>
        <i x="0" s="1"/>
        <i x="6" s="1"/>
        <i x="14" s="1"/>
        <i x="11" s="1"/>
        <i x="1" s="1"/>
        <i x="18" s="1"/>
        <i x="16" s="1"/>
        <i x="17" s="1"/>
        <i x="13" s="1"/>
        <i x="3" s="1"/>
        <i x="4"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yer" xr10:uid="{4E09F446-5765-4F82-B7B5-11FBA014F24F}" cache="Slicer_Buyer1" caption="Buyer" style="SlicerStyleDark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4DA46B-9E40-49F7-9E98-F0D7A18D010E}" name="spend_analysis_dataset" displayName="spend_analysis_dataset" ref="B4:J504" tableType="queryTable" totalsRowShown="0">
  <autoFilter ref="B4:J504" xr:uid="{D24DA46B-9E40-49F7-9E98-F0D7A18D010E}"/>
  <tableColumns count="9">
    <tableColumn id="1" xr3:uid="{F58BB1FB-BA23-49F1-8311-BF4CFEB8341F}" uniqueName="1" name="TransactionID" queryTableFieldId="1" dataDxfId="8"/>
    <tableColumn id="2" xr3:uid="{CBEB9C73-89E1-4C20-BD72-1EC1D872F5CF}" uniqueName="2" name="ItemName" queryTableFieldId="2" dataDxfId="7"/>
    <tableColumn id="3" xr3:uid="{ED1F04B2-9069-4BB8-97E0-1D5F5812B8F0}" uniqueName="3" name="Category" queryTableFieldId="3" dataDxfId="6"/>
    <tableColumn id="4" xr3:uid="{E5F24605-9870-484C-8E21-B343E5C161ED}" uniqueName="4" name="Quantity" queryTableFieldId="4"/>
    <tableColumn id="5" xr3:uid="{A4E9CBE2-6A55-4452-8BB1-7C53767C7024}" uniqueName="5" name="UnitPrice" queryTableFieldId="5"/>
    <tableColumn id="6" xr3:uid="{2FD88F0B-426E-48DA-8C94-135C05AA9049}" uniqueName="6" name="TotalCost" queryTableFieldId="6"/>
    <tableColumn id="7" xr3:uid="{C9E8C6BC-A20C-4F3A-B7A8-857BE3048E8F}" uniqueName="7" name="PurchaseDate" queryTableFieldId="7" dataDxfId="5"/>
    <tableColumn id="8" xr3:uid="{8321BA59-2764-4314-967A-06F5548F208F}" uniqueName="8" name="Supplier" queryTableFieldId="8" dataDxfId="4"/>
    <tableColumn id="9" xr3:uid="{3FAE1B6C-50E8-4F1B-8737-844A48C4D249}" uniqueName="9" name="Buyer" queryTableFieldId="9" dataDxfId="3"/>
  </tableColumns>
  <tableStyleInfo name="TableStyleMedium8"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433EF-2F4D-469B-818A-49432882421F}">
  <dimension ref="B4:J504"/>
  <sheetViews>
    <sheetView showGridLines="0" tabSelected="1" workbookViewId="0">
      <selection activeCell="M22" sqref="M22"/>
    </sheetView>
  </sheetViews>
  <sheetFormatPr defaultRowHeight="14.5" x14ac:dyDescent="0.35"/>
  <cols>
    <col min="1" max="1" width="14.7265625" bestFit="1" customWidth="1"/>
    <col min="2" max="2" width="20.6328125" bestFit="1" customWidth="1"/>
    <col min="3" max="3" width="13" bestFit="1" customWidth="1"/>
    <col min="4" max="4" width="10.26953125" bestFit="1" customWidth="1"/>
    <col min="5" max="5" width="10.90625" bestFit="1" customWidth="1"/>
    <col min="6" max="6" width="11" bestFit="1" customWidth="1"/>
    <col min="7" max="7" width="14.81640625" bestFit="1" customWidth="1"/>
    <col min="8" max="8" width="15.81640625" bestFit="1" customWidth="1"/>
    <col min="9" max="9" width="15.7265625" bestFit="1" customWidth="1"/>
    <col min="10" max="10" width="17.36328125" customWidth="1"/>
  </cols>
  <sheetData>
    <row r="4" spans="2:10" x14ac:dyDescent="0.35">
      <c r="B4" t="s">
        <v>0</v>
      </c>
      <c r="C4" t="s">
        <v>1</v>
      </c>
      <c r="D4" t="s">
        <v>2</v>
      </c>
      <c r="E4" t="s">
        <v>3</v>
      </c>
      <c r="F4" t="s">
        <v>4</v>
      </c>
      <c r="G4" t="s">
        <v>5</v>
      </c>
      <c r="H4" t="s">
        <v>6</v>
      </c>
      <c r="I4" t="s">
        <v>7</v>
      </c>
      <c r="J4" t="s">
        <v>8</v>
      </c>
    </row>
    <row r="5" spans="2:10" x14ac:dyDescent="0.35">
      <c r="B5" s="2" t="s">
        <v>9</v>
      </c>
      <c r="C5" s="2" t="s">
        <v>10</v>
      </c>
      <c r="D5" s="2" t="s">
        <v>11</v>
      </c>
      <c r="E5">
        <v>10</v>
      </c>
      <c r="F5">
        <v>11315</v>
      </c>
      <c r="G5">
        <v>11315</v>
      </c>
      <c r="H5" s="1">
        <v>45401</v>
      </c>
      <c r="I5" s="2" t="s">
        <v>12</v>
      </c>
      <c r="J5" s="2" t="s">
        <v>13</v>
      </c>
    </row>
    <row r="6" spans="2:10" x14ac:dyDescent="0.35">
      <c r="B6" s="2" t="s">
        <v>14</v>
      </c>
      <c r="C6" s="2" t="s">
        <v>15</v>
      </c>
      <c r="D6" s="2" t="s">
        <v>16</v>
      </c>
      <c r="E6">
        <v>16</v>
      </c>
      <c r="F6">
        <v>1262</v>
      </c>
      <c r="G6">
        <v>20192</v>
      </c>
      <c r="H6" s="1">
        <v>45479</v>
      </c>
      <c r="I6" s="2" t="s">
        <v>17</v>
      </c>
      <c r="J6" s="2" t="s">
        <v>13</v>
      </c>
    </row>
    <row r="7" spans="2:10" x14ac:dyDescent="0.35">
      <c r="B7" s="2" t="s">
        <v>18</v>
      </c>
      <c r="C7" s="2" t="s">
        <v>19</v>
      </c>
      <c r="D7" s="2" t="s">
        <v>20</v>
      </c>
      <c r="E7">
        <v>1</v>
      </c>
      <c r="F7">
        <v>564934</v>
      </c>
      <c r="G7">
        <v>564934</v>
      </c>
      <c r="H7" s="1">
        <v>45545</v>
      </c>
      <c r="I7" s="2" t="s">
        <v>12</v>
      </c>
      <c r="J7" s="2" t="s">
        <v>13</v>
      </c>
    </row>
    <row r="8" spans="2:10" x14ac:dyDescent="0.35">
      <c r="B8" s="2" t="s">
        <v>21</v>
      </c>
      <c r="C8" s="2" t="s">
        <v>22</v>
      </c>
      <c r="D8" s="2" t="s">
        <v>23</v>
      </c>
      <c r="E8">
        <v>13</v>
      </c>
      <c r="F8">
        <v>292</v>
      </c>
      <c r="G8">
        <v>3796</v>
      </c>
      <c r="H8" s="1">
        <v>45312</v>
      </c>
      <c r="I8" s="2" t="s">
        <v>24</v>
      </c>
      <c r="J8" s="2" t="s">
        <v>25</v>
      </c>
    </row>
    <row r="9" spans="2:10" x14ac:dyDescent="0.35">
      <c r="B9" s="2" t="s">
        <v>26</v>
      </c>
      <c r="C9" s="2" t="s">
        <v>22</v>
      </c>
      <c r="D9" s="2" t="s">
        <v>23</v>
      </c>
      <c r="E9">
        <v>19</v>
      </c>
      <c r="F9">
        <v>139</v>
      </c>
      <c r="G9">
        <v>2641</v>
      </c>
      <c r="H9" s="1">
        <v>45325</v>
      </c>
      <c r="I9" s="2" t="s">
        <v>12</v>
      </c>
      <c r="J9" s="2" t="s">
        <v>27</v>
      </c>
    </row>
    <row r="10" spans="2:10" x14ac:dyDescent="0.35">
      <c r="B10" s="2" t="s">
        <v>28</v>
      </c>
      <c r="C10" s="2" t="s">
        <v>29</v>
      </c>
      <c r="D10" s="2" t="s">
        <v>30</v>
      </c>
      <c r="E10">
        <v>19</v>
      </c>
      <c r="F10">
        <v>15094</v>
      </c>
      <c r="G10">
        <v>286786</v>
      </c>
      <c r="H10" s="1">
        <v>45624</v>
      </c>
      <c r="I10" s="2" t="s">
        <v>24</v>
      </c>
      <c r="J10" s="2" t="s">
        <v>31</v>
      </c>
    </row>
    <row r="11" spans="2:10" x14ac:dyDescent="0.35">
      <c r="B11" s="2" t="s">
        <v>32</v>
      </c>
      <c r="C11" s="2" t="s">
        <v>22</v>
      </c>
      <c r="D11" s="2" t="s">
        <v>23</v>
      </c>
      <c r="E11">
        <v>8</v>
      </c>
      <c r="F11">
        <v>273</v>
      </c>
      <c r="G11">
        <v>2184</v>
      </c>
      <c r="H11" s="1">
        <v>45341</v>
      </c>
      <c r="I11" s="2" t="s">
        <v>33</v>
      </c>
      <c r="J11" s="2" t="s">
        <v>34</v>
      </c>
    </row>
    <row r="12" spans="2:10" x14ac:dyDescent="0.35">
      <c r="B12" s="2" t="s">
        <v>35</v>
      </c>
      <c r="C12" s="2" t="s">
        <v>22</v>
      </c>
      <c r="D12" s="2" t="s">
        <v>23</v>
      </c>
      <c r="E12">
        <v>4</v>
      </c>
      <c r="F12">
        <v>242</v>
      </c>
      <c r="G12">
        <v>968</v>
      </c>
      <c r="H12" s="1">
        <v>45546</v>
      </c>
      <c r="I12" s="2" t="s">
        <v>24</v>
      </c>
      <c r="J12" s="2" t="s">
        <v>36</v>
      </c>
    </row>
    <row r="13" spans="2:10" x14ac:dyDescent="0.35">
      <c r="B13" s="2" t="s">
        <v>37</v>
      </c>
      <c r="C13" s="2" t="s">
        <v>38</v>
      </c>
      <c r="D13" s="2" t="s">
        <v>23</v>
      </c>
      <c r="E13">
        <v>13</v>
      </c>
      <c r="F13">
        <v>1189</v>
      </c>
      <c r="G13">
        <v>15457</v>
      </c>
      <c r="H13" s="1">
        <v>45394</v>
      </c>
      <c r="I13" s="2" t="s">
        <v>24</v>
      </c>
      <c r="J13" s="2" t="s">
        <v>39</v>
      </c>
    </row>
    <row r="14" spans="2:10" x14ac:dyDescent="0.35">
      <c r="B14" s="2" t="s">
        <v>40</v>
      </c>
      <c r="C14" s="2" t="s">
        <v>41</v>
      </c>
      <c r="D14" s="2" t="s">
        <v>11</v>
      </c>
      <c r="E14">
        <v>19</v>
      </c>
      <c r="F14">
        <v>10082</v>
      </c>
      <c r="G14">
        <v>191558</v>
      </c>
      <c r="H14" s="1">
        <v>45640</v>
      </c>
      <c r="I14" s="2" t="s">
        <v>24</v>
      </c>
      <c r="J14" s="2" t="s">
        <v>36</v>
      </c>
    </row>
    <row r="15" spans="2:10" x14ac:dyDescent="0.35">
      <c r="B15" s="2" t="s">
        <v>42</v>
      </c>
      <c r="C15" s="2" t="s">
        <v>19</v>
      </c>
      <c r="D15" s="2" t="s">
        <v>20</v>
      </c>
      <c r="E15">
        <v>1</v>
      </c>
      <c r="F15">
        <v>818391</v>
      </c>
      <c r="G15">
        <v>818391</v>
      </c>
      <c r="H15" s="1">
        <v>45304</v>
      </c>
      <c r="I15" s="2" t="s">
        <v>43</v>
      </c>
      <c r="J15" s="2" t="s">
        <v>36</v>
      </c>
    </row>
    <row r="16" spans="2:10" x14ac:dyDescent="0.35">
      <c r="B16" s="2" t="s">
        <v>44</v>
      </c>
      <c r="C16" s="2" t="s">
        <v>22</v>
      </c>
      <c r="D16" s="2" t="s">
        <v>23</v>
      </c>
      <c r="E16">
        <v>14</v>
      </c>
      <c r="F16">
        <v>292</v>
      </c>
      <c r="G16">
        <v>4088</v>
      </c>
      <c r="H16" s="1">
        <v>45505</v>
      </c>
      <c r="I16" s="2" t="s">
        <v>24</v>
      </c>
      <c r="J16" s="2" t="s">
        <v>45</v>
      </c>
    </row>
    <row r="17" spans="2:10" x14ac:dyDescent="0.35">
      <c r="B17" s="2" t="s">
        <v>47</v>
      </c>
      <c r="C17" s="2" t="s">
        <v>15</v>
      </c>
      <c r="D17" s="2" t="s">
        <v>16</v>
      </c>
      <c r="E17">
        <v>15</v>
      </c>
      <c r="F17">
        <v>84</v>
      </c>
      <c r="G17">
        <v>1260</v>
      </c>
      <c r="H17" s="1">
        <v>45308</v>
      </c>
      <c r="I17" s="2" t="s">
        <v>24</v>
      </c>
      <c r="J17" s="2" t="s">
        <v>48</v>
      </c>
    </row>
    <row r="18" spans="2:10" x14ac:dyDescent="0.35">
      <c r="B18" s="2" t="s">
        <v>49</v>
      </c>
      <c r="C18" s="2" t="s">
        <v>41</v>
      </c>
      <c r="D18" s="2" t="s">
        <v>11</v>
      </c>
      <c r="E18">
        <v>20</v>
      </c>
      <c r="F18">
        <v>11186</v>
      </c>
      <c r="G18">
        <v>22372</v>
      </c>
      <c r="H18" s="1">
        <v>45394</v>
      </c>
      <c r="I18" s="2" t="s">
        <v>24</v>
      </c>
      <c r="J18" s="2" t="s">
        <v>50</v>
      </c>
    </row>
    <row r="19" spans="2:10" x14ac:dyDescent="0.35">
      <c r="B19" s="2" t="s">
        <v>51</v>
      </c>
      <c r="C19" s="2" t="s">
        <v>22</v>
      </c>
      <c r="D19" s="2" t="s">
        <v>23</v>
      </c>
      <c r="E19">
        <v>17</v>
      </c>
      <c r="F19">
        <v>141</v>
      </c>
      <c r="G19">
        <v>2397</v>
      </c>
      <c r="H19" s="1">
        <v>45656</v>
      </c>
      <c r="I19" s="2" t="s">
        <v>43</v>
      </c>
      <c r="J19" s="2" t="s">
        <v>31</v>
      </c>
    </row>
    <row r="20" spans="2:10" x14ac:dyDescent="0.35">
      <c r="B20" s="2" t="s">
        <v>52</v>
      </c>
      <c r="C20" s="2" t="s">
        <v>53</v>
      </c>
      <c r="D20" s="2" t="s">
        <v>30</v>
      </c>
      <c r="E20">
        <v>6</v>
      </c>
      <c r="F20">
        <v>26379</v>
      </c>
      <c r="G20">
        <v>158274</v>
      </c>
      <c r="H20" s="1">
        <v>45602</v>
      </c>
      <c r="I20" s="2" t="s">
        <v>43</v>
      </c>
      <c r="J20" s="2" t="s">
        <v>45</v>
      </c>
    </row>
    <row r="21" spans="2:10" x14ac:dyDescent="0.35">
      <c r="B21" s="2" t="s">
        <v>54</v>
      </c>
      <c r="C21" s="2" t="s">
        <v>55</v>
      </c>
      <c r="D21" s="2" t="s">
        <v>56</v>
      </c>
      <c r="E21">
        <v>2</v>
      </c>
      <c r="F21">
        <v>320</v>
      </c>
      <c r="G21">
        <v>640</v>
      </c>
      <c r="H21" s="1">
        <v>45514</v>
      </c>
      <c r="I21" s="2" t="s">
        <v>24</v>
      </c>
      <c r="J21" s="2" t="s">
        <v>57</v>
      </c>
    </row>
    <row r="22" spans="2:10" x14ac:dyDescent="0.35">
      <c r="B22" s="2" t="s">
        <v>58</v>
      </c>
      <c r="C22" s="2" t="s">
        <v>55</v>
      </c>
      <c r="D22" s="2" t="s">
        <v>56</v>
      </c>
      <c r="E22">
        <v>16</v>
      </c>
      <c r="F22">
        <v>4202</v>
      </c>
      <c r="G22">
        <v>67232</v>
      </c>
      <c r="H22" s="1">
        <v>45537</v>
      </c>
      <c r="I22" s="2" t="s">
        <v>24</v>
      </c>
      <c r="J22" s="2" t="s">
        <v>59</v>
      </c>
    </row>
    <row r="23" spans="2:10" x14ac:dyDescent="0.35">
      <c r="B23" s="2" t="s">
        <v>60</v>
      </c>
      <c r="C23" s="2" t="s">
        <v>61</v>
      </c>
      <c r="D23" s="2" t="s">
        <v>30</v>
      </c>
      <c r="E23">
        <v>19</v>
      </c>
      <c r="F23">
        <v>81519</v>
      </c>
      <c r="G23">
        <v>1548861</v>
      </c>
      <c r="H23" s="1">
        <v>45587</v>
      </c>
      <c r="I23" s="2" t="s">
        <v>12</v>
      </c>
      <c r="J23" s="2" t="s">
        <v>48</v>
      </c>
    </row>
    <row r="24" spans="2:10" x14ac:dyDescent="0.35">
      <c r="B24" s="2" t="s">
        <v>62</v>
      </c>
      <c r="C24" s="2" t="s">
        <v>53</v>
      </c>
      <c r="D24" s="2" t="s">
        <v>30</v>
      </c>
      <c r="E24">
        <v>9</v>
      </c>
      <c r="F24">
        <v>33661</v>
      </c>
      <c r="G24">
        <v>302949</v>
      </c>
      <c r="H24" s="1">
        <v>45354</v>
      </c>
      <c r="I24" s="2" t="s">
        <v>43</v>
      </c>
      <c r="J24" s="2" t="s">
        <v>48</v>
      </c>
    </row>
    <row r="25" spans="2:10" x14ac:dyDescent="0.35">
      <c r="B25" s="2" t="s">
        <v>63</v>
      </c>
      <c r="C25" s="2" t="s">
        <v>15</v>
      </c>
      <c r="D25" s="2" t="s">
        <v>16</v>
      </c>
      <c r="E25">
        <v>3</v>
      </c>
      <c r="F25">
        <v>1302</v>
      </c>
      <c r="G25">
        <v>3906</v>
      </c>
      <c r="H25" s="1">
        <v>45438</v>
      </c>
      <c r="I25" s="2" t="s">
        <v>17</v>
      </c>
      <c r="J25" s="2" t="s">
        <v>50</v>
      </c>
    </row>
    <row r="26" spans="2:10" x14ac:dyDescent="0.35">
      <c r="B26" s="2" t="s">
        <v>64</v>
      </c>
      <c r="C26" s="2" t="s">
        <v>29</v>
      </c>
      <c r="D26" s="2" t="s">
        <v>30</v>
      </c>
      <c r="E26">
        <v>13</v>
      </c>
      <c r="F26">
        <v>20733</v>
      </c>
      <c r="G26">
        <v>269529</v>
      </c>
      <c r="H26" s="1">
        <v>45338</v>
      </c>
      <c r="I26" s="2" t="s">
        <v>24</v>
      </c>
      <c r="J26" s="2" t="s">
        <v>65</v>
      </c>
    </row>
    <row r="27" spans="2:10" x14ac:dyDescent="0.35">
      <c r="B27" s="2" t="s">
        <v>66</v>
      </c>
      <c r="C27" s="2" t="s">
        <v>41</v>
      </c>
      <c r="D27" s="2" t="s">
        <v>11</v>
      </c>
      <c r="E27">
        <v>16</v>
      </c>
      <c r="F27">
        <v>1506</v>
      </c>
      <c r="G27">
        <v>24096</v>
      </c>
      <c r="H27" s="1">
        <v>45534</v>
      </c>
      <c r="I27" s="2" t="s">
        <v>24</v>
      </c>
      <c r="J27" s="2" t="s">
        <v>50</v>
      </c>
    </row>
    <row r="28" spans="2:10" x14ac:dyDescent="0.35">
      <c r="B28" s="2" t="s">
        <v>67</v>
      </c>
      <c r="C28" s="2" t="s">
        <v>41</v>
      </c>
      <c r="D28" s="2" t="s">
        <v>11</v>
      </c>
      <c r="E28">
        <v>16</v>
      </c>
      <c r="F28">
        <v>13965</v>
      </c>
      <c r="G28">
        <v>22344</v>
      </c>
      <c r="H28" s="1">
        <v>45575</v>
      </c>
      <c r="I28" s="2" t="s">
        <v>43</v>
      </c>
      <c r="J28" s="2" t="s">
        <v>59</v>
      </c>
    </row>
    <row r="29" spans="2:10" x14ac:dyDescent="0.35">
      <c r="B29" s="2" t="s">
        <v>68</v>
      </c>
      <c r="C29" s="2" t="s">
        <v>22</v>
      </c>
      <c r="D29" s="2" t="s">
        <v>23</v>
      </c>
      <c r="E29">
        <v>18</v>
      </c>
      <c r="F29">
        <v>115</v>
      </c>
      <c r="G29">
        <v>207</v>
      </c>
      <c r="H29" s="1">
        <v>45433</v>
      </c>
      <c r="I29" s="2" t="s">
        <v>43</v>
      </c>
      <c r="J29" s="2" t="s">
        <v>59</v>
      </c>
    </row>
    <row r="30" spans="2:10" x14ac:dyDescent="0.35">
      <c r="B30" s="2" t="s">
        <v>69</v>
      </c>
      <c r="C30" s="2" t="s">
        <v>10</v>
      </c>
      <c r="D30" s="2" t="s">
        <v>11</v>
      </c>
      <c r="E30">
        <v>15</v>
      </c>
      <c r="F30">
        <v>10614</v>
      </c>
      <c r="G30">
        <v>15921</v>
      </c>
      <c r="H30" s="1">
        <v>45529</v>
      </c>
      <c r="I30" s="2" t="s">
        <v>33</v>
      </c>
      <c r="J30" s="2" t="s">
        <v>70</v>
      </c>
    </row>
    <row r="31" spans="2:10" x14ac:dyDescent="0.35">
      <c r="B31" s="2" t="s">
        <v>71</v>
      </c>
      <c r="C31" s="2" t="s">
        <v>19</v>
      </c>
      <c r="D31" s="2" t="s">
        <v>20</v>
      </c>
      <c r="E31">
        <v>1</v>
      </c>
      <c r="F31">
        <v>509986</v>
      </c>
      <c r="G31">
        <v>509986</v>
      </c>
      <c r="H31" s="1">
        <v>45301</v>
      </c>
      <c r="I31" s="2" t="s">
        <v>24</v>
      </c>
      <c r="J31" s="2" t="s">
        <v>31</v>
      </c>
    </row>
    <row r="32" spans="2:10" x14ac:dyDescent="0.35">
      <c r="B32" s="2" t="s">
        <v>72</v>
      </c>
      <c r="C32" s="2" t="s">
        <v>10</v>
      </c>
      <c r="D32" s="2" t="s">
        <v>11</v>
      </c>
      <c r="E32">
        <v>6</v>
      </c>
      <c r="F32">
        <v>18726</v>
      </c>
      <c r="G32">
        <v>112356</v>
      </c>
      <c r="H32" s="1">
        <v>45514</v>
      </c>
      <c r="I32" s="2" t="s">
        <v>12</v>
      </c>
      <c r="J32" s="2" t="s">
        <v>50</v>
      </c>
    </row>
    <row r="33" spans="2:10" x14ac:dyDescent="0.35">
      <c r="B33" s="2" t="s">
        <v>73</v>
      </c>
      <c r="C33" s="2" t="s">
        <v>55</v>
      </c>
      <c r="D33" s="2" t="s">
        <v>56</v>
      </c>
      <c r="E33">
        <v>5</v>
      </c>
      <c r="F33">
        <v>3033</v>
      </c>
      <c r="G33">
        <v>15165</v>
      </c>
      <c r="H33" s="1">
        <v>45606</v>
      </c>
      <c r="I33" s="2" t="s">
        <v>33</v>
      </c>
      <c r="J33" s="2" t="s">
        <v>31</v>
      </c>
    </row>
    <row r="34" spans="2:10" x14ac:dyDescent="0.35">
      <c r="B34" s="2" t="s">
        <v>74</v>
      </c>
      <c r="C34" s="2" t="s">
        <v>29</v>
      </c>
      <c r="D34" s="2" t="s">
        <v>30</v>
      </c>
      <c r="E34">
        <v>4</v>
      </c>
      <c r="F34">
        <v>23203</v>
      </c>
      <c r="G34">
        <v>92812</v>
      </c>
      <c r="H34" s="1">
        <v>45458</v>
      </c>
      <c r="I34" s="2" t="s">
        <v>33</v>
      </c>
      <c r="J34" s="2" t="s">
        <v>36</v>
      </c>
    </row>
    <row r="35" spans="2:10" x14ac:dyDescent="0.35">
      <c r="B35" s="2" t="s">
        <v>75</v>
      </c>
      <c r="C35" s="2" t="s">
        <v>61</v>
      </c>
      <c r="D35" s="2" t="s">
        <v>30</v>
      </c>
      <c r="E35">
        <v>16</v>
      </c>
      <c r="F35">
        <v>98067</v>
      </c>
      <c r="G35">
        <v>1569072</v>
      </c>
      <c r="H35" s="1">
        <v>45425</v>
      </c>
      <c r="I35" s="2" t="s">
        <v>43</v>
      </c>
      <c r="J35" s="2" t="s">
        <v>25</v>
      </c>
    </row>
    <row r="36" spans="2:10" x14ac:dyDescent="0.35">
      <c r="B36" s="2" t="s">
        <v>76</v>
      </c>
      <c r="C36" s="2" t="s">
        <v>19</v>
      </c>
      <c r="D36" s="2" t="s">
        <v>20</v>
      </c>
      <c r="E36">
        <v>1</v>
      </c>
      <c r="F36">
        <v>576009</v>
      </c>
      <c r="G36">
        <v>576009</v>
      </c>
      <c r="H36" s="1">
        <v>45299</v>
      </c>
      <c r="I36" s="2" t="s">
        <v>12</v>
      </c>
      <c r="J36" s="2" t="s">
        <v>36</v>
      </c>
    </row>
    <row r="37" spans="2:10" x14ac:dyDescent="0.35">
      <c r="B37" s="2" t="s">
        <v>77</v>
      </c>
      <c r="C37" s="2" t="s">
        <v>53</v>
      </c>
      <c r="D37" s="2" t="s">
        <v>30</v>
      </c>
      <c r="E37">
        <v>18</v>
      </c>
      <c r="F37">
        <v>29604</v>
      </c>
      <c r="G37">
        <v>532872</v>
      </c>
      <c r="H37" s="1">
        <v>45305</v>
      </c>
      <c r="I37" s="2" t="s">
        <v>12</v>
      </c>
      <c r="J37" s="2" t="s">
        <v>39</v>
      </c>
    </row>
    <row r="38" spans="2:10" x14ac:dyDescent="0.35">
      <c r="B38" s="2" t="s">
        <v>78</v>
      </c>
      <c r="C38" s="2" t="s">
        <v>10</v>
      </c>
      <c r="D38" s="2" t="s">
        <v>11</v>
      </c>
      <c r="E38">
        <v>3</v>
      </c>
      <c r="F38">
        <v>10675</v>
      </c>
      <c r="G38">
        <v>32025</v>
      </c>
      <c r="H38" s="1">
        <v>45402</v>
      </c>
      <c r="I38" s="2" t="s">
        <v>17</v>
      </c>
      <c r="J38" s="2" t="s">
        <v>50</v>
      </c>
    </row>
    <row r="39" spans="2:10" x14ac:dyDescent="0.35">
      <c r="B39" s="2" t="s">
        <v>79</v>
      </c>
      <c r="C39" s="2" t="s">
        <v>19</v>
      </c>
      <c r="D39" s="2" t="s">
        <v>20</v>
      </c>
      <c r="E39">
        <v>1</v>
      </c>
      <c r="F39">
        <v>556323</v>
      </c>
      <c r="G39">
        <v>556323</v>
      </c>
      <c r="H39" s="1">
        <v>45591</v>
      </c>
      <c r="I39" s="2" t="s">
        <v>12</v>
      </c>
      <c r="J39" s="2" t="s">
        <v>80</v>
      </c>
    </row>
    <row r="40" spans="2:10" x14ac:dyDescent="0.35">
      <c r="B40" s="2" t="s">
        <v>81</v>
      </c>
      <c r="C40" s="2" t="s">
        <v>22</v>
      </c>
      <c r="D40" s="2" t="s">
        <v>23</v>
      </c>
      <c r="E40">
        <v>13</v>
      </c>
      <c r="F40">
        <v>262</v>
      </c>
      <c r="G40">
        <v>3406</v>
      </c>
      <c r="H40" s="1">
        <v>45584</v>
      </c>
      <c r="I40" s="2" t="s">
        <v>33</v>
      </c>
      <c r="J40" s="2" t="s">
        <v>31</v>
      </c>
    </row>
    <row r="41" spans="2:10" x14ac:dyDescent="0.35">
      <c r="B41" s="2" t="s">
        <v>82</v>
      </c>
      <c r="C41" s="2" t="s">
        <v>38</v>
      </c>
      <c r="D41" s="2" t="s">
        <v>23</v>
      </c>
      <c r="E41">
        <v>8</v>
      </c>
      <c r="F41">
        <v>1263</v>
      </c>
      <c r="G41">
        <v>10104</v>
      </c>
      <c r="H41" s="1">
        <v>45546</v>
      </c>
      <c r="I41" s="2" t="s">
        <v>33</v>
      </c>
      <c r="J41" s="2" t="s">
        <v>70</v>
      </c>
    </row>
    <row r="42" spans="2:10" x14ac:dyDescent="0.35">
      <c r="B42" s="2" t="s">
        <v>83</v>
      </c>
      <c r="C42" s="2" t="s">
        <v>41</v>
      </c>
      <c r="D42" s="2" t="s">
        <v>11</v>
      </c>
      <c r="E42">
        <v>2</v>
      </c>
      <c r="F42">
        <v>12414</v>
      </c>
      <c r="G42">
        <v>24828</v>
      </c>
      <c r="H42" s="1">
        <v>45420</v>
      </c>
      <c r="I42" s="2" t="s">
        <v>24</v>
      </c>
      <c r="J42" s="2" t="s">
        <v>84</v>
      </c>
    </row>
    <row r="43" spans="2:10" x14ac:dyDescent="0.35">
      <c r="B43" s="2" t="s">
        <v>85</v>
      </c>
      <c r="C43" s="2" t="s">
        <v>61</v>
      </c>
      <c r="D43" s="2" t="s">
        <v>30</v>
      </c>
      <c r="E43">
        <v>4</v>
      </c>
      <c r="F43">
        <v>98993</v>
      </c>
      <c r="G43">
        <v>395972</v>
      </c>
      <c r="H43" s="1">
        <v>45571</v>
      </c>
      <c r="I43" s="2" t="s">
        <v>24</v>
      </c>
      <c r="J43" s="2" t="s">
        <v>86</v>
      </c>
    </row>
    <row r="44" spans="2:10" x14ac:dyDescent="0.35">
      <c r="B44" s="2" t="s">
        <v>87</v>
      </c>
      <c r="C44" s="2" t="s">
        <v>29</v>
      </c>
      <c r="D44" s="2" t="s">
        <v>30</v>
      </c>
      <c r="E44">
        <v>3</v>
      </c>
      <c r="F44">
        <v>17005</v>
      </c>
      <c r="G44">
        <v>51015</v>
      </c>
      <c r="H44" s="1">
        <v>45537</v>
      </c>
      <c r="I44" s="2" t="s">
        <v>43</v>
      </c>
      <c r="J44" s="2" t="s">
        <v>70</v>
      </c>
    </row>
    <row r="45" spans="2:10" x14ac:dyDescent="0.35">
      <c r="B45" s="2" t="s">
        <v>88</v>
      </c>
      <c r="C45" s="2" t="s">
        <v>38</v>
      </c>
      <c r="D45" s="2" t="s">
        <v>23</v>
      </c>
      <c r="E45">
        <v>8</v>
      </c>
      <c r="F45">
        <v>1386</v>
      </c>
      <c r="G45">
        <v>11088</v>
      </c>
      <c r="H45" s="1">
        <v>45456</v>
      </c>
      <c r="I45" s="2" t="s">
        <v>33</v>
      </c>
      <c r="J45" s="2" t="s">
        <v>50</v>
      </c>
    </row>
    <row r="46" spans="2:10" x14ac:dyDescent="0.35">
      <c r="B46" s="2" t="s">
        <v>89</v>
      </c>
      <c r="C46" s="2" t="s">
        <v>41</v>
      </c>
      <c r="D46" s="2" t="s">
        <v>11</v>
      </c>
      <c r="E46">
        <v>3</v>
      </c>
      <c r="F46">
        <v>10827</v>
      </c>
      <c r="G46">
        <v>32481</v>
      </c>
      <c r="H46" s="1">
        <v>45529</v>
      </c>
      <c r="I46" s="2" t="s">
        <v>24</v>
      </c>
      <c r="J46" s="2" t="s">
        <v>65</v>
      </c>
    </row>
    <row r="47" spans="2:10" x14ac:dyDescent="0.35">
      <c r="B47" s="2" t="s">
        <v>90</v>
      </c>
      <c r="C47" s="2" t="s">
        <v>61</v>
      </c>
      <c r="D47" s="2" t="s">
        <v>30</v>
      </c>
      <c r="E47">
        <v>9</v>
      </c>
      <c r="F47">
        <v>83213</v>
      </c>
      <c r="G47">
        <v>748917</v>
      </c>
      <c r="H47" s="1">
        <v>45409</v>
      </c>
      <c r="I47" s="2" t="s">
        <v>12</v>
      </c>
      <c r="J47" s="2" t="s">
        <v>65</v>
      </c>
    </row>
    <row r="48" spans="2:10" x14ac:dyDescent="0.35">
      <c r="B48" s="2" t="s">
        <v>91</v>
      </c>
      <c r="C48" s="2" t="s">
        <v>15</v>
      </c>
      <c r="D48" s="2" t="s">
        <v>16</v>
      </c>
      <c r="E48">
        <v>16</v>
      </c>
      <c r="F48">
        <v>1307</v>
      </c>
      <c r="G48">
        <v>20912</v>
      </c>
      <c r="H48" s="1">
        <v>45294</v>
      </c>
      <c r="I48" s="2" t="s">
        <v>12</v>
      </c>
      <c r="J48" s="2" t="s">
        <v>48</v>
      </c>
    </row>
    <row r="49" spans="2:10" x14ac:dyDescent="0.35">
      <c r="B49" s="2" t="s">
        <v>92</v>
      </c>
      <c r="C49" s="2" t="s">
        <v>61</v>
      </c>
      <c r="D49" s="2" t="s">
        <v>30</v>
      </c>
      <c r="E49">
        <v>12</v>
      </c>
      <c r="F49">
        <v>83525</v>
      </c>
      <c r="G49">
        <v>100230</v>
      </c>
      <c r="H49" s="1">
        <v>45509</v>
      </c>
      <c r="I49" s="2" t="s">
        <v>43</v>
      </c>
      <c r="J49" s="2" t="s">
        <v>80</v>
      </c>
    </row>
    <row r="50" spans="2:10" x14ac:dyDescent="0.35">
      <c r="B50" s="2" t="s">
        <v>93</v>
      </c>
      <c r="C50" s="2" t="s">
        <v>15</v>
      </c>
      <c r="D50" s="2" t="s">
        <v>16</v>
      </c>
      <c r="E50">
        <v>11</v>
      </c>
      <c r="F50">
        <v>1443</v>
      </c>
      <c r="G50">
        <v>15873</v>
      </c>
      <c r="H50" s="1">
        <v>45392</v>
      </c>
      <c r="I50" s="2" t="s">
        <v>17</v>
      </c>
      <c r="J50" s="2" t="s">
        <v>31</v>
      </c>
    </row>
    <row r="51" spans="2:10" x14ac:dyDescent="0.35">
      <c r="B51" s="2" t="s">
        <v>94</v>
      </c>
      <c r="C51" s="2" t="s">
        <v>53</v>
      </c>
      <c r="D51" s="2" t="s">
        <v>30</v>
      </c>
      <c r="E51">
        <v>20</v>
      </c>
      <c r="F51">
        <v>22787</v>
      </c>
      <c r="G51">
        <v>45574</v>
      </c>
      <c r="H51" s="1">
        <v>45413</v>
      </c>
      <c r="I51" s="2" t="s">
        <v>24</v>
      </c>
      <c r="J51" s="2" t="s">
        <v>95</v>
      </c>
    </row>
    <row r="52" spans="2:10" x14ac:dyDescent="0.35">
      <c r="B52" s="2" t="s">
        <v>96</v>
      </c>
      <c r="C52" s="2" t="s">
        <v>22</v>
      </c>
      <c r="D52" s="2" t="s">
        <v>23</v>
      </c>
      <c r="E52">
        <v>15</v>
      </c>
      <c r="F52">
        <v>236</v>
      </c>
      <c r="G52">
        <v>354</v>
      </c>
      <c r="H52" s="1">
        <v>45307</v>
      </c>
      <c r="I52" s="2" t="s">
        <v>43</v>
      </c>
      <c r="J52" s="2" t="s">
        <v>97</v>
      </c>
    </row>
    <row r="53" spans="2:10" x14ac:dyDescent="0.35">
      <c r="B53" s="2" t="s">
        <v>98</v>
      </c>
      <c r="C53" s="2" t="s">
        <v>15</v>
      </c>
      <c r="D53" s="2" t="s">
        <v>16</v>
      </c>
      <c r="E53">
        <v>11</v>
      </c>
      <c r="F53">
        <v>642</v>
      </c>
      <c r="G53">
        <v>7062</v>
      </c>
      <c r="H53" s="1">
        <v>45505</v>
      </c>
      <c r="I53" s="2" t="s">
        <v>33</v>
      </c>
      <c r="J53" s="2" t="s">
        <v>57</v>
      </c>
    </row>
    <row r="54" spans="2:10" x14ac:dyDescent="0.35">
      <c r="B54" s="2" t="s">
        <v>99</v>
      </c>
      <c r="C54" s="2" t="s">
        <v>10</v>
      </c>
      <c r="D54" s="2" t="s">
        <v>11</v>
      </c>
      <c r="E54">
        <v>16</v>
      </c>
      <c r="F54">
        <v>16377</v>
      </c>
      <c r="G54">
        <v>262032</v>
      </c>
      <c r="H54" s="1">
        <v>45349</v>
      </c>
      <c r="I54" s="2" t="s">
        <v>43</v>
      </c>
      <c r="J54" s="2" t="s">
        <v>13</v>
      </c>
    </row>
    <row r="55" spans="2:10" x14ac:dyDescent="0.35">
      <c r="B55" s="2" t="s">
        <v>100</v>
      </c>
      <c r="C55" s="2" t="s">
        <v>41</v>
      </c>
      <c r="D55" s="2" t="s">
        <v>11</v>
      </c>
      <c r="E55">
        <v>10</v>
      </c>
      <c r="F55">
        <v>12234</v>
      </c>
      <c r="G55">
        <v>12234</v>
      </c>
      <c r="H55" s="1">
        <v>45504</v>
      </c>
      <c r="I55" s="2" t="s">
        <v>17</v>
      </c>
      <c r="J55" s="2" t="s">
        <v>39</v>
      </c>
    </row>
    <row r="56" spans="2:10" x14ac:dyDescent="0.35">
      <c r="B56" s="2" t="s">
        <v>101</v>
      </c>
      <c r="C56" s="2" t="s">
        <v>61</v>
      </c>
      <c r="D56" s="2" t="s">
        <v>30</v>
      </c>
      <c r="E56">
        <v>1</v>
      </c>
      <c r="F56">
        <v>87663</v>
      </c>
      <c r="G56">
        <v>87663</v>
      </c>
      <c r="H56" s="1">
        <v>45421</v>
      </c>
      <c r="I56" s="2" t="s">
        <v>24</v>
      </c>
      <c r="J56" s="2" t="s">
        <v>50</v>
      </c>
    </row>
    <row r="57" spans="2:10" x14ac:dyDescent="0.35">
      <c r="B57" s="2" t="s">
        <v>102</v>
      </c>
      <c r="C57" s="2" t="s">
        <v>29</v>
      </c>
      <c r="D57" s="2" t="s">
        <v>30</v>
      </c>
      <c r="E57">
        <v>9</v>
      </c>
      <c r="F57">
        <v>24089</v>
      </c>
      <c r="G57">
        <v>216801</v>
      </c>
      <c r="H57" s="1">
        <v>45479</v>
      </c>
      <c r="I57" s="2" t="s">
        <v>43</v>
      </c>
      <c r="J57" s="2" t="s">
        <v>80</v>
      </c>
    </row>
    <row r="58" spans="2:10" x14ac:dyDescent="0.35">
      <c r="B58" s="2" t="s">
        <v>103</v>
      </c>
      <c r="C58" s="2" t="s">
        <v>61</v>
      </c>
      <c r="D58" s="2" t="s">
        <v>30</v>
      </c>
      <c r="E58">
        <v>14</v>
      </c>
      <c r="F58">
        <v>81203</v>
      </c>
      <c r="G58">
        <v>1136842</v>
      </c>
      <c r="H58" s="1">
        <v>45292</v>
      </c>
      <c r="I58" s="2" t="s">
        <v>43</v>
      </c>
      <c r="J58" s="2" t="s">
        <v>80</v>
      </c>
    </row>
    <row r="59" spans="2:10" x14ac:dyDescent="0.35">
      <c r="B59" s="2" t="s">
        <v>104</v>
      </c>
      <c r="C59" s="2" t="s">
        <v>10</v>
      </c>
      <c r="D59" s="2" t="s">
        <v>11</v>
      </c>
      <c r="E59">
        <v>20</v>
      </c>
      <c r="F59">
        <v>18344</v>
      </c>
      <c r="G59">
        <v>36688</v>
      </c>
      <c r="H59" s="1">
        <v>45634</v>
      </c>
      <c r="I59" s="2" t="s">
        <v>12</v>
      </c>
      <c r="J59" s="2" t="s">
        <v>84</v>
      </c>
    </row>
    <row r="60" spans="2:10" x14ac:dyDescent="0.35">
      <c r="B60" s="2" t="s">
        <v>105</v>
      </c>
      <c r="C60" s="2" t="s">
        <v>10</v>
      </c>
      <c r="D60" s="2" t="s">
        <v>11</v>
      </c>
      <c r="E60">
        <v>3</v>
      </c>
      <c r="F60">
        <v>11649</v>
      </c>
      <c r="G60">
        <v>34947</v>
      </c>
      <c r="H60" s="1">
        <v>45559</v>
      </c>
      <c r="I60" s="2" t="s">
        <v>43</v>
      </c>
      <c r="J60" s="2" t="s">
        <v>50</v>
      </c>
    </row>
    <row r="61" spans="2:10" x14ac:dyDescent="0.35">
      <c r="B61" s="2" t="s">
        <v>106</v>
      </c>
      <c r="C61" s="2" t="s">
        <v>55</v>
      </c>
      <c r="D61" s="2" t="s">
        <v>56</v>
      </c>
      <c r="E61">
        <v>5</v>
      </c>
      <c r="F61">
        <v>2165</v>
      </c>
      <c r="G61">
        <v>10825</v>
      </c>
      <c r="H61" s="1">
        <v>45326</v>
      </c>
      <c r="I61" s="2" t="s">
        <v>24</v>
      </c>
      <c r="J61" s="2" t="s">
        <v>50</v>
      </c>
    </row>
    <row r="62" spans="2:10" x14ac:dyDescent="0.35">
      <c r="B62" s="2" t="s">
        <v>107</v>
      </c>
      <c r="C62" s="2" t="s">
        <v>38</v>
      </c>
      <c r="D62" s="2" t="s">
        <v>23</v>
      </c>
      <c r="E62">
        <v>17</v>
      </c>
      <c r="F62">
        <v>1186</v>
      </c>
      <c r="G62">
        <v>20162</v>
      </c>
      <c r="H62" s="1">
        <v>45624</v>
      </c>
      <c r="I62" s="2" t="s">
        <v>24</v>
      </c>
      <c r="J62" s="2" t="s">
        <v>13</v>
      </c>
    </row>
    <row r="63" spans="2:10" x14ac:dyDescent="0.35">
      <c r="B63" s="2" t="s">
        <v>108</v>
      </c>
      <c r="C63" s="2" t="s">
        <v>10</v>
      </c>
      <c r="D63" s="2" t="s">
        <v>11</v>
      </c>
      <c r="E63">
        <v>20</v>
      </c>
      <c r="F63">
        <v>14945</v>
      </c>
      <c r="G63">
        <v>29890</v>
      </c>
      <c r="H63" s="1">
        <v>45483</v>
      </c>
      <c r="I63" s="2" t="s">
        <v>17</v>
      </c>
      <c r="J63" s="2" t="s">
        <v>65</v>
      </c>
    </row>
    <row r="64" spans="2:10" x14ac:dyDescent="0.35">
      <c r="B64" s="2" t="s">
        <v>109</v>
      </c>
      <c r="C64" s="2" t="s">
        <v>53</v>
      </c>
      <c r="D64" s="2" t="s">
        <v>30</v>
      </c>
      <c r="E64">
        <v>11</v>
      </c>
      <c r="F64">
        <v>34844</v>
      </c>
      <c r="G64">
        <v>383284</v>
      </c>
      <c r="H64" s="1">
        <v>45440</v>
      </c>
      <c r="I64" s="2" t="s">
        <v>24</v>
      </c>
      <c r="J64" s="2" t="s">
        <v>31</v>
      </c>
    </row>
    <row r="65" spans="2:10" x14ac:dyDescent="0.35">
      <c r="B65" s="2" t="s">
        <v>110</v>
      </c>
      <c r="C65" s="2" t="s">
        <v>61</v>
      </c>
      <c r="D65" s="2" t="s">
        <v>30</v>
      </c>
      <c r="E65">
        <v>20</v>
      </c>
      <c r="F65">
        <v>92032</v>
      </c>
      <c r="G65">
        <v>184064</v>
      </c>
      <c r="H65" s="1">
        <v>45613</v>
      </c>
      <c r="I65" s="2" t="s">
        <v>12</v>
      </c>
      <c r="J65" s="2" t="s">
        <v>50</v>
      </c>
    </row>
    <row r="66" spans="2:10" x14ac:dyDescent="0.35">
      <c r="B66" s="2" t="s">
        <v>111</v>
      </c>
      <c r="C66" s="2" t="s">
        <v>29</v>
      </c>
      <c r="D66" s="2" t="s">
        <v>30</v>
      </c>
      <c r="E66">
        <v>5</v>
      </c>
      <c r="F66">
        <v>29298</v>
      </c>
      <c r="G66">
        <v>14649</v>
      </c>
      <c r="H66" s="1">
        <v>45524</v>
      </c>
      <c r="I66" s="2" t="s">
        <v>43</v>
      </c>
      <c r="J66" s="2" t="s">
        <v>59</v>
      </c>
    </row>
    <row r="67" spans="2:10" x14ac:dyDescent="0.35">
      <c r="B67" s="2" t="s">
        <v>112</v>
      </c>
      <c r="C67" s="2" t="s">
        <v>41</v>
      </c>
      <c r="D67" s="2" t="s">
        <v>11</v>
      </c>
      <c r="E67">
        <v>18</v>
      </c>
      <c r="F67">
        <v>16763</v>
      </c>
      <c r="G67">
        <v>301734</v>
      </c>
      <c r="H67" s="1">
        <v>45414</v>
      </c>
      <c r="I67" s="2" t="s">
        <v>17</v>
      </c>
      <c r="J67" s="2" t="s">
        <v>70</v>
      </c>
    </row>
    <row r="68" spans="2:10" x14ac:dyDescent="0.35">
      <c r="B68" s="2" t="s">
        <v>113</v>
      </c>
      <c r="C68" s="2" t="s">
        <v>15</v>
      </c>
      <c r="D68" s="2" t="s">
        <v>16</v>
      </c>
      <c r="E68">
        <v>13</v>
      </c>
      <c r="F68">
        <v>1439</v>
      </c>
      <c r="G68">
        <v>18707</v>
      </c>
      <c r="H68" s="1">
        <v>45594</v>
      </c>
      <c r="I68" s="2" t="s">
        <v>33</v>
      </c>
      <c r="J68" s="2" t="s">
        <v>13</v>
      </c>
    </row>
    <row r="69" spans="2:10" x14ac:dyDescent="0.35">
      <c r="B69" s="2" t="s">
        <v>114</v>
      </c>
      <c r="C69" s="2" t="s">
        <v>15</v>
      </c>
      <c r="D69" s="2" t="s">
        <v>16</v>
      </c>
      <c r="E69">
        <v>3</v>
      </c>
      <c r="F69">
        <v>634</v>
      </c>
      <c r="G69">
        <v>1902</v>
      </c>
      <c r="H69" s="1">
        <v>45414</v>
      </c>
      <c r="I69" s="2" t="s">
        <v>17</v>
      </c>
      <c r="J69" s="2" t="s">
        <v>13</v>
      </c>
    </row>
    <row r="70" spans="2:10" x14ac:dyDescent="0.35">
      <c r="B70" s="2" t="s">
        <v>115</v>
      </c>
      <c r="C70" s="2" t="s">
        <v>53</v>
      </c>
      <c r="D70" s="2" t="s">
        <v>30</v>
      </c>
      <c r="E70">
        <v>5</v>
      </c>
      <c r="F70">
        <v>22726</v>
      </c>
      <c r="G70">
        <v>11363</v>
      </c>
      <c r="H70" s="1">
        <v>45473</v>
      </c>
      <c r="I70" s="2" t="s">
        <v>43</v>
      </c>
      <c r="J70" s="2" t="s">
        <v>50</v>
      </c>
    </row>
    <row r="71" spans="2:10" x14ac:dyDescent="0.35">
      <c r="B71" s="2" t="s">
        <v>116</v>
      </c>
      <c r="C71" s="2" t="s">
        <v>22</v>
      </c>
      <c r="D71" s="2" t="s">
        <v>23</v>
      </c>
      <c r="E71">
        <v>12</v>
      </c>
      <c r="F71">
        <v>22</v>
      </c>
      <c r="G71">
        <v>264</v>
      </c>
      <c r="H71" s="1">
        <v>45458</v>
      </c>
      <c r="I71" s="2" t="s">
        <v>33</v>
      </c>
      <c r="J71" s="2" t="s">
        <v>34</v>
      </c>
    </row>
    <row r="72" spans="2:10" x14ac:dyDescent="0.35">
      <c r="B72" s="2" t="s">
        <v>117</v>
      </c>
      <c r="C72" s="2" t="s">
        <v>10</v>
      </c>
      <c r="D72" s="2" t="s">
        <v>11</v>
      </c>
      <c r="E72">
        <v>15</v>
      </c>
      <c r="F72">
        <v>16345</v>
      </c>
      <c r="G72">
        <v>245175</v>
      </c>
      <c r="H72" s="1">
        <v>45390</v>
      </c>
      <c r="I72" s="2" t="s">
        <v>43</v>
      </c>
      <c r="J72" s="2" t="s">
        <v>34</v>
      </c>
    </row>
    <row r="73" spans="2:10" x14ac:dyDescent="0.35">
      <c r="B73" s="2" t="s">
        <v>118</v>
      </c>
      <c r="C73" s="2" t="s">
        <v>22</v>
      </c>
      <c r="D73" s="2" t="s">
        <v>23</v>
      </c>
      <c r="E73">
        <v>10</v>
      </c>
      <c r="F73">
        <v>138</v>
      </c>
      <c r="G73">
        <v>138</v>
      </c>
      <c r="H73" s="1">
        <v>45626</v>
      </c>
      <c r="I73" s="2" t="s">
        <v>17</v>
      </c>
      <c r="J73" s="2" t="s">
        <v>86</v>
      </c>
    </row>
    <row r="74" spans="2:10" x14ac:dyDescent="0.35">
      <c r="B74" s="2" t="s">
        <v>119</v>
      </c>
      <c r="C74" s="2" t="s">
        <v>10</v>
      </c>
      <c r="D74" s="2" t="s">
        <v>11</v>
      </c>
      <c r="E74">
        <v>11</v>
      </c>
      <c r="F74">
        <v>1180</v>
      </c>
      <c r="G74">
        <v>12980</v>
      </c>
      <c r="H74" s="1">
        <v>45370</v>
      </c>
      <c r="I74" s="2" t="s">
        <v>33</v>
      </c>
      <c r="J74" s="2" t="s">
        <v>45</v>
      </c>
    </row>
    <row r="75" spans="2:10" x14ac:dyDescent="0.35">
      <c r="B75" s="2" t="s">
        <v>120</v>
      </c>
      <c r="C75" s="2" t="s">
        <v>15</v>
      </c>
      <c r="D75" s="2" t="s">
        <v>16</v>
      </c>
      <c r="E75">
        <v>7</v>
      </c>
      <c r="F75">
        <v>1431</v>
      </c>
      <c r="G75">
        <v>10017</v>
      </c>
      <c r="H75" s="1">
        <v>45325</v>
      </c>
      <c r="I75" s="2" t="s">
        <v>33</v>
      </c>
      <c r="J75" s="2" t="s">
        <v>97</v>
      </c>
    </row>
    <row r="76" spans="2:10" x14ac:dyDescent="0.35">
      <c r="B76" s="2" t="s">
        <v>121</v>
      </c>
      <c r="C76" s="2" t="s">
        <v>22</v>
      </c>
      <c r="D76" s="2" t="s">
        <v>23</v>
      </c>
      <c r="E76">
        <v>5</v>
      </c>
      <c r="F76">
        <v>197</v>
      </c>
      <c r="G76">
        <v>985</v>
      </c>
      <c r="H76" s="1">
        <v>45432</v>
      </c>
      <c r="I76" s="2" t="s">
        <v>12</v>
      </c>
      <c r="J76" s="2" t="s">
        <v>39</v>
      </c>
    </row>
    <row r="77" spans="2:10" x14ac:dyDescent="0.35">
      <c r="B77" s="2" t="s">
        <v>122</v>
      </c>
      <c r="C77" s="2" t="s">
        <v>61</v>
      </c>
      <c r="D77" s="2" t="s">
        <v>30</v>
      </c>
      <c r="E77">
        <v>2</v>
      </c>
      <c r="F77">
        <v>97947</v>
      </c>
      <c r="G77">
        <v>195894</v>
      </c>
      <c r="H77" s="1">
        <v>45517</v>
      </c>
      <c r="I77" s="2" t="s">
        <v>12</v>
      </c>
      <c r="J77" s="2" t="s">
        <v>48</v>
      </c>
    </row>
    <row r="78" spans="2:10" x14ac:dyDescent="0.35">
      <c r="B78" s="2" t="s">
        <v>123</v>
      </c>
      <c r="C78" s="2" t="s">
        <v>55</v>
      </c>
      <c r="D78" s="2" t="s">
        <v>56</v>
      </c>
      <c r="E78">
        <v>5</v>
      </c>
      <c r="F78">
        <v>4627</v>
      </c>
      <c r="G78">
        <v>23135</v>
      </c>
      <c r="H78" s="1">
        <v>45432</v>
      </c>
      <c r="I78" s="2" t="s">
        <v>24</v>
      </c>
      <c r="J78" s="2" t="s">
        <v>25</v>
      </c>
    </row>
    <row r="79" spans="2:10" x14ac:dyDescent="0.35">
      <c r="B79" s="2" t="s">
        <v>124</v>
      </c>
      <c r="C79" s="2" t="s">
        <v>15</v>
      </c>
      <c r="D79" s="2" t="s">
        <v>16</v>
      </c>
      <c r="E79">
        <v>8</v>
      </c>
      <c r="F79">
        <v>1097</v>
      </c>
      <c r="G79">
        <v>8776</v>
      </c>
      <c r="H79" s="1">
        <v>45653</v>
      </c>
      <c r="I79" s="2" t="s">
        <v>43</v>
      </c>
      <c r="J79" s="2" t="s">
        <v>48</v>
      </c>
    </row>
    <row r="80" spans="2:10" x14ac:dyDescent="0.35">
      <c r="B80" s="2" t="s">
        <v>125</v>
      </c>
      <c r="C80" s="2" t="s">
        <v>61</v>
      </c>
      <c r="D80" s="2" t="s">
        <v>30</v>
      </c>
      <c r="E80">
        <v>2</v>
      </c>
      <c r="F80">
        <v>90312</v>
      </c>
      <c r="G80">
        <v>180624</v>
      </c>
      <c r="H80" s="1">
        <v>45326</v>
      </c>
      <c r="I80" s="2" t="s">
        <v>12</v>
      </c>
      <c r="J80" s="2" t="s">
        <v>95</v>
      </c>
    </row>
    <row r="81" spans="2:10" x14ac:dyDescent="0.35">
      <c r="B81" s="2" t="s">
        <v>126</v>
      </c>
      <c r="C81" s="2" t="s">
        <v>29</v>
      </c>
      <c r="D81" s="2" t="s">
        <v>30</v>
      </c>
      <c r="E81">
        <v>18</v>
      </c>
      <c r="F81">
        <v>28114</v>
      </c>
      <c r="G81">
        <v>506052</v>
      </c>
      <c r="H81" s="1">
        <v>45571</v>
      </c>
      <c r="I81" s="2" t="s">
        <v>33</v>
      </c>
      <c r="J81" s="2" t="s">
        <v>84</v>
      </c>
    </row>
    <row r="82" spans="2:10" x14ac:dyDescent="0.35">
      <c r="B82" s="2" t="s">
        <v>127</v>
      </c>
      <c r="C82" s="2" t="s">
        <v>22</v>
      </c>
      <c r="D82" s="2" t="s">
        <v>23</v>
      </c>
      <c r="E82">
        <v>5</v>
      </c>
      <c r="F82">
        <v>255</v>
      </c>
      <c r="G82">
        <v>1275</v>
      </c>
      <c r="H82" s="1">
        <v>45334</v>
      </c>
      <c r="I82" s="2" t="s">
        <v>12</v>
      </c>
      <c r="J82" s="2" t="s">
        <v>57</v>
      </c>
    </row>
    <row r="83" spans="2:10" x14ac:dyDescent="0.35">
      <c r="B83" s="2" t="s">
        <v>128</v>
      </c>
      <c r="C83" s="2" t="s">
        <v>38</v>
      </c>
      <c r="D83" s="2" t="s">
        <v>23</v>
      </c>
      <c r="E83">
        <v>4</v>
      </c>
      <c r="F83">
        <v>1043</v>
      </c>
      <c r="G83">
        <v>4172</v>
      </c>
      <c r="H83" s="1">
        <v>45536</v>
      </c>
      <c r="I83" s="2" t="s">
        <v>24</v>
      </c>
      <c r="J83" s="2" t="s">
        <v>86</v>
      </c>
    </row>
    <row r="84" spans="2:10" x14ac:dyDescent="0.35">
      <c r="B84" s="2" t="s">
        <v>129</v>
      </c>
      <c r="C84" s="2" t="s">
        <v>29</v>
      </c>
      <c r="D84" s="2" t="s">
        <v>30</v>
      </c>
      <c r="E84">
        <v>6</v>
      </c>
      <c r="F84">
        <v>18982</v>
      </c>
      <c r="G84">
        <v>113892</v>
      </c>
      <c r="H84" s="1">
        <v>45611</v>
      </c>
      <c r="I84" s="2" t="s">
        <v>43</v>
      </c>
      <c r="J84" s="2" t="s">
        <v>34</v>
      </c>
    </row>
    <row r="85" spans="2:10" x14ac:dyDescent="0.35">
      <c r="B85" s="2" t="s">
        <v>130</v>
      </c>
      <c r="C85" s="2" t="s">
        <v>53</v>
      </c>
      <c r="D85" s="2" t="s">
        <v>30</v>
      </c>
      <c r="E85">
        <v>12</v>
      </c>
      <c r="F85">
        <v>29972</v>
      </c>
      <c r="G85">
        <v>359664</v>
      </c>
      <c r="H85" s="1">
        <v>45349</v>
      </c>
      <c r="I85" s="2" t="s">
        <v>24</v>
      </c>
      <c r="J85" s="2" t="s">
        <v>45</v>
      </c>
    </row>
    <row r="86" spans="2:10" x14ac:dyDescent="0.35">
      <c r="B86" s="2" t="s">
        <v>131</v>
      </c>
      <c r="C86" s="2" t="s">
        <v>15</v>
      </c>
      <c r="D86" s="2" t="s">
        <v>16</v>
      </c>
      <c r="E86">
        <v>12</v>
      </c>
      <c r="F86">
        <v>1208</v>
      </c>
      <c r="G86">
        <v>14496</v>
      </c>
      <c r="H86" s="1">
        <v>45301</v>
      </c>
      <c r="I86" s="2" t="s">
        <v>17</v>
      </c>
      <c r="J86" s="2" t="s">
        <v>50</v>
      </c>
    </row>
    <row r="87" spans="2:10" x14ac:dyDescent="0.35">
      <c r="B87" s="2" t="s">
        <v>132</v>
      </c>
      <c r="C87" s="2" t="s">
        <v>19</v>
      </c>
      <c r="D87" s="2" t="s">
        <v>20</v>
      </c>
      <c r="E87">
        <v>1</v>
      </c>
      <c r="F87">
        <v>935786</v>
      </c>
      <c r="G87">
        <v>935786</v>
      </c>
      <c r="H87" s="1">
        <v>45628</v>
      </c>
      <c r="I87" s="2" t="s">
        <v>12</v>
      </c>
      <c r="J87" s="2" t="s">
        <v>59</v>
      </c>
    </row>
    <row r="88" spans="2:10" x14ac:dyDescent="0.35">
      <c r="B88" s="2" t="s">
        <v>133</v>
      </c>
      <c r="C88" s="2" t="s">
        <v>19</v>
      </c>
      <c r="D88" s="2" t="s">
        <v>20</v>
      </c>
      <c r="E88">
        <v>1</v>
      </c>
      <c r="F88">
        <v>72212</v>
      </c>
      <c r="G88">
        <v>72212</v>
      </c>
      <c r="H88" s="1">
        <v>45539</v>
      </c>
      <c r="I88" s="2" t="s">
        <v>12</v>
      </c>
      <c r="J88" s="2" t="s">
        <v>134</v>
      </c>
    </row>
    <row r="89" spans="2:10" x14ac:dyDescent="0.35">
      <c r="B89" s="2" t="s">
        <v>135</v>
      </c>
      <c r="C89" s="2" t="s">
        <v>41</v>
      </c>
      <c r="D89" s="2" t="s">
        <v>11</v>
      </c>
      <c r="E89">
        <v>19</v>
      </c>
      <c r="F89">
        <v>12401</v>
      </c>
      <c r="G89">
        <v>235619</v>
      </c>
      <c r="H89" s="1">
        <v>45434</v>
      </c>
      <c r="I89" s="2" t="s">
        <v>43</v>
      </c>
      <c r="J89" s="2" t="s">
        <v>25</v>
      </c>
    </row>
    <row r="90" spans="2:10" x14ac:dyDescent="0.35">
      <c r="B90" s="2" t="s">
        <v>136</v>
      </c>
      <c r="C90" s="2" t="s">
        <v>41</v>
      </c>
      <c r="D90" s="2" t="s">
        <v>11</v>
      </c>
      <c r="E90">
        <v>5</v>
      </c>
      <c r="F90">
        <v>15307</v>
      </c>
      <c r="G90">
        <v>76535</v>
      </c>
      <c r="H90" s="1">
        <v>45358</v>
      </c>
      <c r="I90" s="2" t="s">
        <v>12</v>
      </c>
      <c r="J90" s="2" t="s">
        <v>36</v>
      </c>
    </row>
    <row r="91" spans="2:10" x14ac:dyDescent="0.35">
      <c r="B91" s="2" t="s">
        <v>137</v>
      </c>
      <c r="C91" s="2" t="s">
        <v>10</v>
      </c>
      <c r="D91" s="2" t="s">
        <v>11</v>
      </c>
      <c r="E91">
        <v>15</v>
      </c>
      <c r="F91">
        <v>16558</v>
      </c>
      <c r="G91">
        <v>24837</v>
      </c>
      <c r="H91" s="1">
        <v>45411</v>
      </c>
      <c r="I91" s="2" t="s">
        <v>12</v>
      </c>
      <c r="J91" s="2" t="s">
        <v>57</v>
      </c>
    </row>
    <row r="92" spans="2:10" x14ac:dyDescent="0.35">
      <c r="B92" s="2" t="s">
        <v>138</v>
      </c>
      <c r="C92" s="2" t="s">
        <v>19</v>
      </c>
      <c r="D92" s="2" t="s">
        <v>20</v>
      </c>
      <c r="E92">
        <v>1</v>
      </c>
      <c r="F92">
        <v>555559</v>
      </c>
      <c r="G92">
        <v>555559</v>
      </c>
      <c r="H92" s="1">
        <v>45402</v>
      </c>
      <c r="I92" s="2" t="s">
        <v>33</v>
      </c>
      <c r="J92" s="2" t="s">
        <v>57</v>
      </c>
    </row>
    <row r="93" spans="2:10" x14ac:dyDescent="0.35">
      <c r="B93" s="2" t="s">
        <v>139</v>
      </c>
      <c r="C93" s="2" t="s">
        <v>41</v>
      </c>
      <c r="D93" s="2" t="s">
        <v>11</v>
      </c>
      <c r="E93">
        <v>6</v>
      </c>
      <c r="F93">
        <v>15057</v>
      </c>
      <c r="G93">
        <v>90342</v>
      </c>
      <c r="H93" s="1">
        <v>45496</v>
      </c>
      <c r="I93" s="2" t="s">
        <v>12</v>
      </c>
      <c r="J93" s="2" t="s">
        <v>59</v>
      </c>
    </row>
    <row r="94" spans="2:10" x14ac:dyDescent="0.35">
      <c r="B94" s="2" t="s">
        <v>140</v>
      </c>
      <c r="C94" s="2" t="s">
        <v>61</v>
      </c>
      <c r="D94" s="2" t="s">
        <v>30</v>
      </c>
      <c r="E94">
        <v>6</v>
      </c>
      <c r="F94">
        <v>8328</v>
      </c>
      <c r="G94">
        <v>49968</v>
      </c>
      <c r="H94" s="1">
        <v>45602</v>
      </c>
      <c r="I94" s="2" t="s">
        <v>17</v>
      </c>
      <c r="J94" s="2" t="s">
        <v>80</v>
      </c>
    </row>
    <row r="95" spans="2:10" x14ac:dyDescent="0.35">
      <c r="B95" s="2" t="s">
        <v>141</v>
      </c>
      <c r="C95" s="2" t="s">
        <v>10</v>
      </c>
      <c r="D95" s="2" t="s">
        <v>11</v>
      </c>
      <c r="E95">
        <v>15</v>
      </c>
      <c r="F95">
        <v>19546</v>
      </c>
      <c r="G95">
        <v>29319</v>
      </c>
      <c r="H95" s="1">
        <v>45544</v>
      </c>
      <c r="I95" s="2" t="s">
        <v>43</v>
      </c>
      <c r="J95" s="2" t="s">
        <v>57</v>
      </c>
    </row>
    <row r="96" spans="2:10" x14ac:dyDescent="0.35">
      <c r="B96" s="2" t="s">
        <v>142</v>
      </c>
      <c r="C96" s="2" t="s">
        <v>15</v>
      </c>
      <c r="D96" s="2" t="s">
        <v>16</v>
      </c>
      <c r="E96">
        <v>7</v>
      </c>
      <c r="F96">
        <v>1195</v>
      </c>
      <c r="G96">
        <v>8365</v>
      </c>
      <c r="H96" s="1">
        <v>45554</v>
      </c>
      <c r="I96" s="2" t="s">
        <v>43</v>
      </c>
      <c r="J96" s="2" t="s">
        <v>134</v>
      </c>
    </row>
    <row r="97" spans="2:10" x14ac:dyDescent="0.35">
      <c r="B97" s="2" t="s">
        <v>143</v>
      </c>
      <c r="C97" s="2" t="s">
        <v>53</v>
      </c>
      <c r="D97" s="2" t="s">
        <v>30</v>
      </c>
      <c r="E97">
        <v>4</v>
      </c>
      <c r="F97">
        <v>2469</v>
      </c>
      <c r="G97">
        <v>9876</v>
      </c>
      <c r="H97" s="1">
        <v>45601</v>
      </c>
      <c r="I97" s="2" t="s">
        <v>17</v>
      </c>
      <c r="J97" s="2" t="s">
        <v>34</v>
      </c>
    </row>
    <row r="98" spans="2:10" x14ac:dyDescent="0.35">
      <c r="B98" s="2" t="s">
        <v>144</v>
      </c>
      <c r="C98" s="2" t="s">
        <v>61</v>
      </c>
      <c r="D98" s="2" t="s">
        <v>30</v>
      </c>
      <c r="E98">
        <v>7</v>
      </c>
      <c r="F98">
        <v>90044</v>
      </c>
      <c r="G98">
        <v>630308</v>
      </c>
      <c r="H98" s="1">
        <v>45533</v>
      </c>
      <c r="I98" s="2" t="s">
        <v>17</v>
      </c>
      <c r="J98" s="2" t="s">
        <v>134</v>
      </c>
    </row>
    <row r="99" spans="2:10" x14ac:dyDescent="0.35">
      <c r="B99" s="2" t="s">
        <v>145</v>
      </c>
      <c r="C99" s="2" t="s">
        <v>10</v>
      </c>
      <c r="D99" s="2" t="s">
        <v>11</v>
      </c>
      <c r="E99">
        <v>12</v>
      </c>
      <c r="F99">
        <v>18186</v>
      </c>
      <c r="G99">
        <v>218232</v>
      </c>
      <c r="H99" s="1">
        <v>45343</v>
      </c>
      <c r="I99" s="2" t="s">
        <v>43</v>
      </c>
      <c r="J99" s="2" t="s">
        <v>70</v>
      </c>
    </row>
    <row r="100" spans="2:10" x14ac:dyDescent="0.35">
      <c r="B100" s="2" t="s">
        <v>146</v>
      </c>
      <c r="C100" s="2" t="s">
        <v>10</v>
      </c>
      <c r="D100" s="2" t="s">
        <v>11</v>
      </c>
      <c r="E100">
        <v>1</v>
      </c>
      <c r="F100">
        <v>15321</v>
      </c>
      <c r="G100">
        <v>15321</v>
      </c>
      <c r="H100" s="1">
        <v>45366</v>
      </c>
      <c r="I100" s="2" t="s">
        <v>12</v>
      </c>
      <c r="J100" s="2" t="s">
        <v>13</v>
      </c>
    </row>
    <row r="101" spans="2:10" x14ac:dyDescent="0.35">
      <c r="B101" s="2" t="s">
        <v>147</v>
      </c>
      <c r="C101" s="2" t="s">
        <v>10</v>
      </c>
      <c r="D101" s="2" t="s">
        <v>11</v>
      </c>
      <c r="E101">
        <v>2</v>
      </c>
      <c r="F101">
        <v>10908</v>
      </c>
      <c r="G101">
        <v>21816</v>
      </c>
      <c r="H101" s="1">
        <v>45527</v>
      </c>
      <c r="I101" s="2" t="s">
        <v>17</v>
      </c>
      <c r="J101" s="2" t="s">
        <v>80</v>
      </c>
    </row>
    <row r="102" spans="2:10" x14ac:dyDescent="0.35">
      <c r="B102" s="2" t="s">
        <v>148</v>
      </c>
      <c r="C102" s="2" t="s">
        <v>55</v>
      </c>
      <c r="D102" s="2" t="s">
        <v>56</v>
      </c>
      <c r="E102">
        <v>12</v>
      </c>
      <c r="F102">
        <v>2139</v>
      </c>
      <c r="G102">
        <v>25668</v>
      </c>
      <c r="H102" s="1">
        <v>45551</v>
      </c>
      <c r="I102" s="2" t="s">
        <v>33</v>
      </c>
      <c r="J102" s="2" t="s">
        <v>25</v>
      </c>
    </row>
    <row r="103" spans="2:10" x14ac:dyDescent="0.35">
      <c r="B103" s="2" t="s">
        <v>149</v>
      </c>
      <c r="C103" s="2" t="s">
        <v>19</v>
      </c>
      <c r="D103" s="2" t="s">
        <v>20</v>
      </c>
      <c r="E103">
        <v>1</v>
      </c>
      <c r="F103">
        <v>953443</v>
      </c>
      <c r="G103">
        <v>953443</v>
      </c>
      <c r="H103" s="1">
        <v>45411</v>
      </c>
      <c r="I103" s="2" t="s">
        <v>24</v>
      </c>
      <c r="J103" s="2" t="s">
        <v>31</v>
      </c>
    </row>
    <row r="104" spans="2:10" x14ac:dyDescent="0.35">
      <c r="B104" s="2" t="s">
        <v>150</v>
      </c>
      <c r="C104" s="2" t="s">
        <v>55</v>
      </c>
      <c r="D104" s="2" t="s">
        <v>56</v>
      </c>
      <c r="E104">
        <v>10</v>
      </c>
      <c r="F104">
        <v>204</v>
      </c>
      <c r="G104">
        <v>2040</v>
      </c>
      <c r="H104" s="1">
        <v>45619</v>
      </c>
      <c r="I104" s="2" t="s">
        <v>43</v>
      </c>
      <c r="J104" s="2" t="s">
        <v>48</v>
      </c>
    </row>
    <row r="105" spans="2:10" x14ac:dyDescent="0.35">
      <c r="B105" s="2" t="s">
        <v>151</v>
      </c>
      <c r="C105" s="2" t="s">
        <v>55</v>
      </c>
      <c r="D105" s="2" t="s">
        <v>56</v>
      </c>
      <c r="E105">
        <v>17</v>
      </c>
      <c r="F105">
        <v>2434</v>
      </c>
      <c r="G105">
        <v>41378</v>
      </c>
      <c r="H105" s="1">
        <v>45570</v>
      </c>
      <c r="I105" s="2" t="s">
        <v>33</v>
      </c>
      <c r="J105" s="2" t="s">
        <v>34</v>
      </c>
    </row>
    <row r="106" spans="2:10" x14ac:dyDescent="0.35">
      <c r="B106" s="2" t="s">
        <v>152</v>
      </c>
      <c r="C106" s="2" t="s">
        <v>29</v>
      </c>
      <c r="D106" s="2" t="s">
        <v>30</v>
      </c>
      <c r="E106">
        <v>1</v>
      </c>
      <c r="F106">
        <v>21463</v>
      </c>
      <c r="G106">
        <v>21463</v>
      </c>
      <c r="H106" s="1">
        <v>45506</v>
      </c>
      <c r="I106" s="2" t="s">
        <v>12</v>
      </c>
      <c r="J106" s="2" t="s">
        <v>45</v>
      </c>
    </row>
    <row r="107" spans="2:10" x14ac:dyDescent="0.35">
      <c r="B107" s="2" t="s">
        <v>153</v>
      </c>
      <c r="C107" s="2" t="s">
        <v>19</v>
      </c>
      <c r="D107" s="2" t="s">
        <v>20</v>
      </c>
      <c r="E107">
        <v>1</v>
      </c>
      <c r="F107">
        <v>857872</v>
      </c>
      <c r="G107">
        <v>857872</v>
      </c>
      <c r="H107" s="1">
        <v>45569</v>
      </c>
      <c r="I107" s="2" t="s">
        <v>12</v>
      </c>
      <c r="J107" s="2" t="s">
        <v>86</v>
      </c>
    </row>
    <row r="108" spans="2:10" x14ac:dyDescent="0.35">
      <c r="B108" s="2" t="s">
        <v>154</v>
      </c>
      <c r="C108" s="2" t="s">
        <v>38</v>
      </c>
      <c r="D108" s="2" t="s">
        <v>23</v>
      </c>
      <c r="E108">
        <v>11</v>
      </c>
      <c r="F108">
        <v>1127</v>
      </c>
      <c r="G108">
        <v>12397</v>
      </c>
      <c r="H108" s="1">
        <v>45533</v>
      </c>
      <c r="I108" s="2" t="s">
        <v>17</v>
      </c>
      <c r="J108" s="2" t="s">
        <v>48</v>
      </c>
    </row>
    <row r="109" spans="2:10" x14ac:dyDescent="0.35">
      <c r="B109" s="2" t="s">
        <v>155</v>
      </c>
      <c r="C109" s="2" t="s">
        <v>61</v>
      </c>
      <c r="D109" s="2" t="s">
        <v>30</v>
      </c>
      <c r="E109">
        <v>1</v>
      </c>
      <c r="F109">
        <v>84876</v>
      </c>
      <c r="G109">
        <v>84876</v>
      </c>
      <c r="H109" s="1">
        <v>45651</v>
      </c>
      <c r="I109" s="2" t="s">
        <v>17</v>
      </c>
      <c r="J109" s="2" t="s">
        <v>86</v>
      </c>
    </row>
    <row r="110" spans="2:10" x14ac:dyDescent="0.35">
      <c r="B110" s="2" t="s">
        <v>156</v>
      </c>
      <c r="C110" s="2" t="s">
        <v>41</v>
      </c>
      <c r="D110" s="2" t="s">
        <v>11</v>
      </c>
      <c r="E110">
        <v>6</v>
      </c>
      <c r="F110">
        <v>11595</v>
      </c>
      <c r="G110">
        <v>6957</v>
      </c>
      <c r="H110" s="1">
        <v>45650</v>
      </c>
      <c r="I110" s="2" t="s">
        <v>33</v>
      </c>
      <c r="J110" s="2" t="s">
        <v>45</v>
      </c>
    </row>
    <row r="111" spans="2:10" x14ac:dyDescent="0.35">
      <c r="B111" s="2" t="s">
        <v>157</v>
      </c>
      <c r="C111" s="2" t="s">
        <v>41</v>
      </c>
      <c r="D111" s="2" t="s">
        <v>11</v>
      </c>
      <c r="E111">
        <v>2</v>
      </c>
      <c r="F111">
        <v>12467</v>
      </c>
      <c r="G111">
        <v>24934</v>
      </c>
      <c r="H111" s="1">
        <v>45513</v>
      </c>
      <c r="I111" s="2" t="s">
        <v>12</v>
      </c>
      <c r="J111" s="2" t="s">
        <v>97</v>
      </c>
    </row>
    <row r="112" spans="2:10" x14ac:dyDescent="0.35">
      <c r="B112" s="2" t="s">
        <v>158</v>
      </c>
      <c r="C112" s="2" t="s">
        <v>55</v>
      </c>
      <c r="D112" s="2" t="s">
        <v>56</v>
      </c>
      <c r="E112">
        <v>16</v>
      </c>
      <c r="F112">
        <v>2311</v>
      </c>
      <c r="G112">
        <v>36976</v>
      </c>
      <c r="H112" s="1">
        <v>45529</v>
      </c>
      <c r="I112" s="2" t="s">
        <v>24</v>
      </c>
      <c r="J112" s="2" t="s">
        <v>31</v>
      </c>
    </row>
    <row r="113" spans="2:10" x14ac:dyDescent="0.35">
      <c r="B113" s="2" t="s">
        <v>159</v>
      </c>
      <c r="C113" s="2" t="s">
        <v>29</v>
      </c>
      <c r="D113" s="2" t="s">
        <v>30</v>
      </c>
      <c r="E113">
        <v>6</v>
      </c>
      <c r="F113">
        <v>28622</v>
      </c>
      <c r="G113">
        <v>171732</v>
      </c>
      <c r="H113" s="1">
        <v>45571</v>
      </c>
      <c r="I113" s="2" t="s">
        <v>33</v>
      </c>
      <c r="J113" s="2" t="s">
        <v>36</v>
      </c>
    </row>
    <row r="114" spans="2:10" x14ac:dyDescent="0.35">
      <c r="B114" s="2" t="s">
        <v>160</v>
      </c>
      <c r="C114" s="2" t="s">
        <v>41</v>
      </c>
      <c r="D114" s="2" t="s">
        <v>11</v>
      </c>
      <c r="E114">
        <v>14</v>
      </c>
      <c r="F114">
        <v>17556</v>
      </c>
      <c r="G114">
        <v>245784</v>
      </c>
      <c r="H114" s="1">
        <v>45521</v>
      </c>
      <c r="I114" s="2" t="s">
        <v>24</v>
      </c>
      <c r="J114" s="2" t="s">
        <v>34</v>
      </c>
    </row>
    <row r="115" spans="2:10" x14ac:dyDescent="0.35">
      <c r="B115" s="2" t="s">
        <v>161</v>
      </c>
      <c r="C115" s="2" t="s">
        <v>55</v>
      </c>
      <c r="D115" s="2" t="s">
        <v>56</v>
      </c>
      <c r="E115">
        <v>20</v>
      </c>
      <c r="F115">
        <v>2736</v>
      </c>
      <c r="G115">
        <v>5472</v>
      </c>
      <c r="H115" s="1">
        <v>45359</v>
      </c>
      <c r="I115" s="2" t="s">
        <v>12</v>
      </c>
      <c r="J115" s="2" t="s">
        <v>95</v>
      </c>
    </row>
    <row r="116" spans="2:10" x14ac:dyDescent="0.35">
      <c r="B116" s="2" t="s">
        <v>162</v>
      </c>
      <c r="C116" s="2" t="s">
        <v>19</v>
      </c>
      <c r="D116" s="2" t="s">
        <v>20</v>
      </c>
      <c r="E116">
        <v>1</v>
      </c>
      <c r="F116">
        <v>762802</v>
      </c>
      <c r="G116">
        <v>762802</v>
      </c>
      <c r="H116" s="1">
        <v>45449</v>
      </c>
      <c r="I116" s="2" t="s">
        <v>43</v>
      </c>
      <c r="J116" s="2" t="s">
        <v>134</v>
      </c>
    </row>
    <row r="117" spans="2:10" x14ac:dyDescent="0.35">
      <c r="B117" s="2" t="s">
        <v>163</v>
      </c>
      <c r="C117" s="2" t="s">
        <v>15</v>
      </c>
      <c r="D117" s="2" t="s">
        <v>16</v>
      </c>
      <c r="E117">
        <v>19</v>
      </c>
      <c r="F117">
        <v>1132</v>
      </c>
      <c r="G117">
        <v>21508</v>
      </c>
      <c r="H117" s="1">
        <v>45484</v>
      </c>
      <c r="I117" s="2" t="s">
        <v>43</v>
      </c>
      <c r="J117" s="2" t="s">
        <v>34</v>
      </c>
    </row>
    <row r="118" spans="2:10" x14ac:dyDescent="0.35">
      <c r="B118" s="2" t="s">
        <v>164</v>
      </c>
      <c r="C118" s="2" t="s">
        <v>22</v>
      </c>
      <c r="D118" s="2" t="s">
        <v>23</v>
      </c>
      <c r="E118">
        <v>15</v>
      </c>
      <c r="F118">
        <v>249</v>
      </c>
      <c r="G118">
        <v>3735</v>
      </c>
      <c r="H118" s="1">
        <v>45293</v>
      </c>
      <c r="I118" s="2" t="s">
        <v>12</v>
      </c>
      <c r="J118" s="2" t="s">
        <v>65</v>
      </c>
    </row>
    <row r="119" spans="2:10" x14ac:dyDescent="0.35">
      <c r="B119" s="2" t="s">
        <v>165</v>
      </c>
      <c r="C119" s="2" t="s">
        <v>10</v>
      </c>
      <c r="D119" s="2" t="s">
        <v>11</v>
      </c>
      <c r="E119">
        <v>18</v>
      </c>
      <c r="F119">
        <v>1502</v>
      </c>
      <c r="G119">
        <v>27036</v>
      </c>
      <c r="H119" s="1">
        <v>45408</v>
      </c>
      <c r="I119" s="2" t="s">
        <v>12</v>
      </c>
      <c r="J119" s="2" t="s">
        <v>13</v>
      </c>
    </row>
    <row r="120" spans="2:10" x14ac:dyDescent="0.35">
      <c r="B120" s="2" t="s">
        <v>166</v>
      </c>
      <c r="C120" s="2" t="s">
        <v>41</v>
      </c>
      <c r="D120" s="2" t="s">
        <v>11</v>
      </c>
      <c r="E120">
        <v>19</v>
      </c>
      <c r="F120">
        <v>17466</v>
      </c>
      <c r="G120">
        <v>331854</v>
      </c>
      <c r="H120" s="1">
        <v>45516</v>
      </c>
      <c r="I120" s="2" t="s">
        <v>43</v>
      </c>
      <c r="J120" s="2" t="s">
        <v>57</v>
      </c>
    </row>
    <row r="121" spans="2:10" x14ac:dyDescent="0.35">
      <c r="B121" s="2" t="s">
        <v>167</v>
      </c>
      <c r="C121" s="2" t="s">
        <v>29</v>
      </c>
      <c r="D121" s="2" t="s">
        <v>30</v>
      </c>
      <c r="E121">
        <v>15</v>
      </c>
      <c r="F121">
        <v>19447</v>
      </c>
      <c r="G121">
        <v>291705</v>
      </c>
      <c r="H121" s="1">
        <v>45542</v>
      </c>
      <c r="I121" s="2" t="s">
        <v>33</v>
      </c>
      <c r="J121" s="2" t="s">
        <v>65</v>
      </c>
    </row>
    <row r="122" spans="2:10" x14ac:dyDescent="0.35">
      <c r="B122" s="2" t="s">
        <v>168</v>
      </c>
      <c r="C122" s="2" t="s">
        <v>38</v>
      </c>
      <c r="D122" s="2" t="s">
        <v>23</v>
      </c>
      <c r="E122">
        <v>16</v>
      </c>
      <c r="F122">
        <v>1945</v>
      </c>
      <c r="G122">
        <v>3112</v>
      </c>
      <c r="H122" s="1">
        <v>45299</v>
      </c>
      <c r="I122" s="2" t="s">
        <v>43</v>
      </c>
      <c r="J122" s="2" t="s">
        <v>84</v>
      </c>
    </row>
    <row r="123" spans="2:10" x14ac:dyDescent="0.35">
      <c r="B123" s="2" t="s">
        <v>169</v>
      </c>
      <c r="C123" s="2" t="s">
        <v>15</v>
      </c>
      <c r="D123" s="2" t="s">
        <v>16</v>
      </c>
      <c r="E123">
        <v>19</v>
      </c>
      <c r="F123">
        <v>939</v>
      </c>
      <c r="G123">
        <v>17841</v>
      </c>
      <c r="H123" s="1">
        <v>45645</v>
      </c>
      <c r="I123" s="2" t="s">
        <v>12</v>
      </c>
      <c r="J123" s="2" t="s">
        <v>27</v>
      </c>
    </row>
    <row r="124" spans="2:10" x14ac:dyDescent="0.35">
      <c r="B124" s="2" t="s">
        <v>170</v>
      </c>
      <c r="C124" s="2" t="s">
        <v>55</v>
      </c>
      <c r="D124" s="2" t="s">
        <v>56</v>
      </c>
      <c r="E124">
        <v>12</v>
      </c>
      <c r="F124">
        <v>3894</v>
      </c>
      <c r="G124">
        <v>46728</v>
      </c>
      <c r="H124" s="1">
        <v>45653</v>
      </c>
      <c r="I124" s="2" t="s">
        <v>43</v>
      </c>
      <c r="J124" s="2" t="s">
        <v>13</v>
      </c>
    </row>
    <row r="125" spans="2:10" x14ac:dyDescent="0.35">
      <c r="B125" s="2" t="s">
        <v>171</v>
      </c>
      <c r="C125" s="2" t="s">
        <v>19</v>
      </c>
      <c r="D125" s="2" t="s">
        <v>20</v>
      </c>
      <c r="E125">
        <v>1</v>
      </c>
      <c r="F125">
        <v>677179</v>
      </c>
      <c r="G125">
        <v>677179</v>
      </c>
      <c r="H125" s="1">
        <v>45392</v>
      </c>
      <c r="I125" s="2" t="s">
        <v>12</v>
      </c>
      <c r="J125" s="2" t="s">
        <v>45</v>
      </c>
    </row>
    <row r="126" spans="2:10" x14ac:dyDescent="0.35">
      <c r="B126" s="2" t="s">
        <v>172</v>
      </c>
      <c r="C126" s="2" t="s">
        <v>41</v>
      </c>
      <c r="D126" s="2" t="s">
        <v>11</v>
      </c>
      <c r="E126">
        <v>2</v>
      </c>
      <c r="F126">
        <v>18673</v>
      </c>
      <c r="G126">
        <v>37346</v>
      </c>
      <c r="H126" s="1">
        <v>45462</v>
      </c>
      <c r="I126" s="2" t="s">
        <v>33</v>
      </c>
      <c r="J126" s="2" t="s">
        <v>25</v>
      </c>
    </row>
    <row r="127" spans="2:10" x14ac:dyDescent="0.35">
      <c r="B127" s="2" t="s">
        <v>173</v>
      </c>
      <c r="C127" s="2" t="s">
        <v>15</v>
      </c>
      <c r="D127" s="2" t="s">
        <v>16</v>
      </c>
      <c r="E127">
        <v>16</v>
      </c>
      <c r="F127">
        <v>1278</v>
      </c>
      <c r="G127">
        <v>20448</v>
      </c>
      <c r="H127" s="1">
        <v>45342</v>
      </c>
      <c r="I127" s="2" t="s">
        <v>17</v>
      </c>
      <c r="J127" s="2" t="s">
        <v>31</v>
      </c>
    </row>
    <row r="128" spans="2:10" x14ac:dyDescent="0.35">
      <c r="B128" s="2" t="s">
        <v>174</v>
      </c>
      <c r="C128" s="2" t="s">
        <v>22</v>
      </c>
      <c r="D128" s="2" t="s">
        <v>23</v>
      </c>
      <c r="E128">
        <v>1</v>
      </c>
      <c r="F128">
        <v>272</v>
      </c>
      <c r="G128">
        <v>272</v>
      </c>
      <c r="H128" s="1">
        <v>45381</v>
      </c>
      <c r="I128" s="2" t="s">
        <v>24</v>
      </c>
      <c r="J128" s="2" t="s">
        <v>134</v>
      </c>
    </row>
    <row r="129" spans="2:10" x14ac:dyDescent="0.35">
      <c r="B129" s="2" t="s">
        <v>175</v>
      </c>
      <c r="C129" s="2" t="s">
        <v>10</v>
      </c>
      <c r="D129" s="2" t="s">
        <v>11</v>
      </c>
      <c r="E129">
        <v>6</v>
      </c>
      <c r="F129">
        <v>11867</v>
      </c>
      <c r="G129">
        <v>71202</v>
      </c>
      <c r="H129" s="1">
        <v>45311</v>
      </c>
      <c r="I129" s="2" t="s">
        <v>12</v>
      </c>
      <c r="J129" s="2" t="s">
        <v>97</v>
      </c>
    </row>
    <row r="130" spans="2:10" x14ac:dyDescent="0.35">
      <c r="B130" s="2" t="s">
        <v>176</v>
      </c>
      <c r="C130" s="2" t="s">
        <v>61</v>
      </c>
      <c r="D130" s="2" t="s">
        <v>30</v>
      </c>
      <c r="E130">
        <v>4</v>
      </c>
      <c r="F130">
        <v>99488</v>
      </c>
      <c r="G130">
        <v>397952</v>
      </c>
      <c r="H130" s="1">
        <v>45385</v>
      </c>
      <c r="I130" s="2" t="s">
        <v>24</v>
      </c>
      <c r="J130" s="2" t="s">
        <v>80</v>
      </c>
    </row>
    <row r="131" spans="2:10" x14ac:dyDescent="0.35">
      <c r="B131" s="2" t="s">
        <v>177</v>
      </c>
      <c r="C131" s="2" t="s">
        <v>38</v>
      </c>
      <c r="D131" s="2" t="s">
        <v>23</v>
      </c>
      <c r="E131">
        <v>3</v>
      </c>
      <c r="F131">
        <v>1863</v>
      </c>
      <c r="G131">
        <v>5589</v>
      </c>
      <c r="H131" s="1">
        <v>45423</v>
      </c>
      <c r="I131" s="2" t="s">
        <v>17</v>
      </c>
      <c r="J131" s="2" t="s">
        <v>134</v>
      </c>
    </row>
    <row r="132" spans="2:10" x14ac:dyDescent="0.35">
      <c r="B132" s="2" t="s">
        <v>178</v>
      </c>
      <c r="C132" s="2" t="s">
        <v>15</v>
      </c>
      <c r="D132" s="2" t="s">
        <v>16</v>
      </c>
      <c r="E132">
        <v>8</v>
      </c>
      <c r="F132">
        <v>1292</v>
      </c>
      <c r="G132">
        <v>10336</v>
      </c>
      <c r="H132" s="1">
        <v>45504</v>
      </c>
      <c r="I132" s="2" t="s">
        <v>24</v>
      </c>
      <c r="J132" s="2" t="s">
        <v>45</v>
      </c>
    </row>
    <row r="133" spans="2:10" x14ac:dyDescent="0.35">
      <c r="B133" s="2" t="s">
        <v>179</v>
      </c>
      <c r="C133" s="2" t="s">
        <v>38</v>
      </c>
      <c r="D133" s="2" t="s">
        <v>23</v>
      </c>
      <c r="E133">
        <v>10</v>
      </c>
      <c r="F133">
        <v>1497</v>
      </c>
      <c r="G133">
        <v>1497</v>
      </c>
      <c r="H133" s="1">
        <v>45413</v>
      </c>
      <c r="I133" s="2" t="s">
        <v>43</v>
      </c>
      <c r="J133" s="2" t="s">
        <v>57</v>
      </c>
    </row>
    <row r="134" spans="2:10" x14ac:dyDescent="0.35">
      <c r="B134" s="2" t="s">
        <v>180</v>
      </c>
      <c r="C134" s="2" t="s">
        <v>55</v>
      </c>
      <c r="D134" s="2" t="s">
        <v>56</v>
      </c>
      <c r="E134">
        <v>10</v>
      </c>
      <c r="F134">
        <v>2648</v>
      </c>
      <c r="G134">
        <v>2648</v>
      </c>
      <c r="H134" s="1">
        <v>45402</v>
      </c>
      <c r="I134" s="2" t="s">
        <v>17</v>
      </c>
      <c r="J134" s="2" t="s">
        <v>25</v>
      </c>
    </row>
    <row r="135" spans="2:10" x14ac:dyDescent="0.35">
      <c r="B135" s="2" t="s">
        <v>181</v>
      </c>
      <c r="C135" s="2" t="s">
        <v>53</v>
      </c>
      <c r="D135" s="2" t="s">
        <v>30</v>
      </c>
      <c r="E135">
        <v>11</v>
      </c>
      <c r="F135">
        <v>30104</v>
      </c>
      <c r="G135">
        <v>331144</v>
      </c>
      <c r="H135" s="1">
        <v>45430</v>
      </c>
      <c r="I135" s="2" t="s">
        <v>43</v>
      </c>
      <c r="J135" s="2" t="s">
        <v>25</v>
      </c>
    </row>
    <row r="136" spans="2:10" x14ac:dyDescent="0.35">
      <c r="B136" s="2" t="s">
        <v>182</v>
      </c>
      <c r="C136" s="2" t="s">
        <v>15</v>
      </c>
      <c r="D136" s="2" t="s">
        <v>16</v>
      </c>
      <c r="E136">
        <v>16</v>
      </c>
      <c r="F136">
        <v>1381</v>
      </c>
      <c r="G136">
        <v>22096</v>
      </c>
      <c r="H136" s="1">
        <v>45642</v>
      </c>
      <c r="I136" s="2" t="s">
        <v>24</v>
      </c>
      <c r="J136" s="2" t="s">
        <v>25</v>
      </c>
    </row>
    <row r="137" spans="2:10" x14ac:dyDescent="0.35">
      <c r="B137" s="2" t="s">
        <v>183</v>
      </c>
      <c r="C137" s="2" t="s">
        <v>19</v>
      </c>
      <c r="D137" s="2" t="s">
        <v>20</v>
      </c>
      <c r="E137">
        <v>1</v>
      </c>
      <c r="F137">
        <v>887861</v>
      </c>
      <c r="G137">
        <v>887861</v>
      </c>
      <c r="H137" s="1">
        <v>45555</v>
      </c>
      <c r="I137" s="2" t="s">
        <v>43</v>
      </c>
      <c r="J137" s="2" t="s">
        <v>134</v>
      </c>
    </row>
    <row r="138" spans="2:10" x14ac:dyDescent="0.35">
      <c r="B138" s="2" t="s">
        <v>184</v>
      </c>
      <c r="C138" s="2" t="s">
        <v>61</v>
      </c>
      <c r="D138" s="2" t="s">
        <v>30</v>
      </c>
      <c r="E138">
        <v>17</v>
      </c>
      <c r="F138">
        <v>83068</v>
      </c>
      <c r="G138">
        <v>1412156</v>
      </c>
      <c r="H138" s="1">
        <v>45403</v>
      </c>
      <c r="I138" s="2" t="s">
        <v>33</v>
      </c>
      <c r="J138" s="2" t="s">
        <v>34</v>
      </c>
    </row>
    <row r="139" spans="2:10" x14ac:dyDescent="0.35">
      <c r="B139" s="2" t="s">
        <v>185</v>
      </c>
      <c r="C139" s="2" t="s">
        <v>10</v>
      </c>
      <c r="D139" s="2" t="s">
        <v>11</v>
      </c>
      <c r="E139">
        <v>5</v>
      </c>
      <c r="F139">
        <v>1063</v>
      </c>
      <c r="G139">
        <v>5315</v>
      </c>
      <c r="H139" s="1">
        <v>45654</v>
      </c>
      <c r="I139" s="2" t="s">
        <v>17</v>
      </c>
      <c r="J139" s="2" t="s">
        <v>97</v>
      </c>
    </row>
    <row r="140" spans="2:10" x14ac:dyDescent="0.35">
      <c r="B140" s="2" t="s">
        <v>186</v>
      </c>
      <c r="C140" s="2" t="s">
        <v>38</v>
      </c>
      <c r="D140" s="2" t="s">
        <v>23</v>
      </c>
      <c r="E140">
        <v>5</v>
      </c>
      <c r="F140">
        <v>1407</v>
      </c>
      <c r="G140">
        <v>7035</v>
      </c>
      <c r="H140" s="1">
        <v>45405</v>
      </c>
      <c r="I140" s="2" t="s">
        <v>12</v>
      </c>
      <c r="J140" s="2" t="s">
        <v>80</v>
      </c>
    </row>
    <row r="141" spans="2:10" x14ac:dyDescent="0.35">
      <c r="B141" s="2" t="s">
        <v>187</v>
      </c>
      <c r="C141" s="2" t="s">
        <v>61</v>
      </c>
      <c r="D141" s="2" t="s">
        <v>30</v>
      </c>
      <c r="E141">
        <v>13</v>
      </c>
      <c r="F141">
        <v>82583</v>
      </c>
      <c r="G141">
        <v>1073579</v>
      </c>
      <c r="H141" s="1">
        <v>45365</v>
      </c>
      <c r="I141" s="2" t="s">
        <v>17</v>
      </c>
      <c r="J141" s="2" t="s">
        <v>70</v>
      </c>
    </row>
    <row r="142" spans="2:10" x14ac:dyDescent="0.35">
      <c r="B142" s="2" t="s">
        <v>188</v>
      </c>
      <c r="C142" s="2" t="s">
        <v>55</v>
      </c>
      <c r="D142" s="2" t="s">
        <v>56</v>
      </c>
      <c r="E142">
        <v>14</v>
      </c>
      <c r="F142">
        <v>4492</v>
      </c>
      <c r="G142">
        <v>62888</v>
      </c>
      <c r="H142" s="1">
        <v>45593</v>
      </c>
      <c r="I142" s="2" t="s">
        <v>24</v>
      </c>
      <c r="J142" s="2" t="s">
        <v>84</v>
      </c>
    </row>
    <row r="143" spans="2:10" x14ac:dyDescent="0.35">
      <c r="B143" s="2" t="s">
        <v>189</v>
      </c>
      <c r="C143" s="2" t="s">
        <v>53</v>
      </c>
      <c r="D143" s="2" t="s">
        <v>30</v>
      </c>
      <c r="E143">
        <v>13</v>
      </c>
      <c r="F143">
        <v>23984</v>
      </c>
      <c r="G143">
        <v>311792</v>
      </c>
      <c r="H143" s="1">
        <v>45559</v>
      </c>
      <c r="I143" s="2" t="s">
        <v>43</v>
      </c>
      <c r="J143" s="2" t="s">
        <v>25</v>
      </c>
    </row>
    <row r="144" spans="2:10" x14ac:dyDescent="0.35">
      <c r="B144" s="2" t="s">
        <v>190</v>
      </c>
      <c r="C144" s="2" t="s">
        <v>38</v>
      </c>
      <c r="D144" s="2" t="s">
        <v>23</v>
      </c>
      <c r="E144">
        <v>8</v>
      </c>
      <c r="F144">
        <v>1153</v>
      </c>
      <c r="G144">
        <v>9224</v>
      </c>
      <c r="H144" s="1">
        <v>45351</v>
      </c>
      <c r="I144" s="2" t="s">
        <v>33</v>
      </c>
      <c r="J144" s="2" t="s">
        <v>27</v>
      </c>
    </row>
    <row r="145" spans="2:10" x14ac:dyDescent="0.35">
      <c r="B145" s="2" t="s">
        <v>191</v>
      </c>
      <c r="C145" s="2" t="s">
        <v>19</v>
      </c>
      <c r="D145" s="2" t="s">
        <v>20</v>
      </c>
      <c r="E145">
        <v>1</v>
      </c>
      <c r="F145">
        <v>545269</v>
      </c>
      <c r="G145">
        <v>545269</v>
      </c>
      <c r="H145" s="1">
        <v>45424</v>
      </c>
      <c r="I145" s="2" t="s">
        <v>24</v>
      </c>
      <c r="J145" s="2" t="s">
        <v>27</v>
      </c>
    </row>
    <row r="146" spans="2:10" x14ac:dyDescent="0.35">
      <c r="B146" s="2" t="s">
        <v>192</v>
      </c>
      <c r="C146" s="2" t="s">
        <v>19</v>
      </c>
      <c r="D146" s="2" t="s">
        <v>20</v>
      </c>
      <c r="E146">
        <v>1</v>
      </c>
      <c r="F146">
        <v>634234</v>
      </c>
      <c r="G146">
        <v>634234</v>
      </c>
      <c r="H146" s="1">
        <v>45470</v>
      </c>
      <c r="I146" s="2" t="s">
        <v>17</v>
      </c>
      <c r="J146" s="2" t="s">
        <v>48</v>
      </c>
    </row>
    <row r="147" spans="2:10" x14ac:dyDescent="0.35">
      <c r="B147" s="2" t="s">
        <v>193</v>
      </c>
      <c r="C147" s="2" t="s">
        <v>15</v>
      </c>
      <c r="D147" s="2" t="s">
        <v>16</v>
      </c>
      <c r="E147">
        <v>13</v>
      </c>
      <c r="F147">
        <v>892</v>
      </c>
      <c r="G147">
        <v>11596</v>
      </c>
      <c r="H147" s="1">
        <v>45391</v>
      </c>
      <c r="I147" s="2" t="s">
        <v>12</v>
      </c>
      <c r="J147" s="2" t="s">
        <v>39</v>
      </c>
    </row>
    <row r="148" spans="2:10" x14ac:dyDescent="0.35">
      <c r="B148" s="2" t="s">
        <v>194</v>
      </c>
      <c r="C148" s="2" t="s">
        <v>55</v>
      </c>
      <c r="D148" s="2" t="s">
        <v>56</v>
      </c>
      <c r="E148">
        <v>18</v>
      </c>
      <c r="F148">
        <v>4198</v>
      </c>
      <c r="G148">
        <v>75564</v>
      </c>
      <c r="H148" s="1">
        <v>45455</v>
      </c>
      <c r="I148" s="2" t="s">
        <v>12</v>
      </c>
      <c r="J148" s="2" t="s">
        <v>13</v>
      </c>
    </row>
    <row r="149" spans="2:10" x14ac:dyDescent="0.35">
      <c r="B149" s="2" t="s">
        <v>195</v>
      </c>
      <c r="C149" s="2" t="s">
        <v>10</v>
      </c>
      <c r="D149" s="2" t="s">
        <v>11</v>
      </c>
      <c r="E149">
        <v>9</v>
      </c>
      <c r="F149">
        <v>11769</v>
      </c>
      <c r="G149">
        <v>105921</v>
      </c>
      <c r="H149" s="1">
        <v>45623</v>
      </c>
      <c r="I149" s="2" t="s">
        <v>17</v>
      </c>
      <c r="J149" s="2" t="s">
        <v>48</v>
      </c>
    </row>
    <row r="150" spans="2:10" x14ac:dyDescent="0.35">
      <c r="B150" s="2" t="s">
        <v>196</v>
      </c>
      <c r="C150" s="2" t="s">
        <v>10</v>
      </c>
      <c r="D150" s="2" t="s">
        <v>11</v>
      </c>
      <c r="E150">
        <v>18</v>
      </c>
      <c r="F150">
        <v>10801</v>
      </c>
      <c r="G150">
        <v>194418</v>
      </c>
      <c r="H150" s="1">
        <v>45637</v>
      </c>
      <c r="I150" s="2" t="s">
        <v>33</v>
      </c>
      <c r="J150" s="2" t="s">
        <v>27</v>
      </c>
    </row>
    <row r="151" spans="2:10" x14ac:dyDescent="0.35">
      <c r="B151" s="2" t="s">
        <v>197</v>
      </c>
      <c r="C151" s="2" t="s">
        <v>10</v>
      </c>
      <c r="D151" s="2" t="s">
        <v>11</v>
      </c>
      <c r="E151">
        <v>16</v>
      </c>
      <c r="F151">
        <v>1322</v>
      </c>
      <c r="G151">
        <v>21152</v>
      </c>
      <c r="H151" s="1">
        <v>45591</v>
      </c>
      <c r="I151" s="2" t="s">
        <v>43</v>
      </c>
      <c r="J151" s="2" t="s">
        <v>80</v>
      </c>
    </row>
    <row r="152" spans="2:10" x14ac:dyDescent="0.35">
      <c r="B152" s="2" t="s">
        <v>198</v>
      </c>
      <c r="C152" s="2" t="s">
        <v>10</v>
      </c>
      <c r="D152" s="2" t="s">
        <v>11</v>
      </c>
      <c r="E152">
        <v>17</v>
      </c>
      <c r="F152">
        <v>12836</v>
      </c>
      <c r="G152">
        <v>218212</v>
      </c>
      <c r="H152" s="1">
        <v>45576</v>
      </c>
      <c r="I152" s="2" t="s">
        <v>24</v>
      </c>
      <c r="J152" s="2" t="s">
        <v>80</v>
      </c>
    </row>
    <row r="153" spans="2:10" x14ac:dyDescent="0.35">
      <c r="B153" s="2" t="s">
        <v>199</v>
      </c>
      <c r="C153" s="2" t="s">
        <v>29</v>
      </c>
      <c r="D153" s="2" t="s">
        <v>30</v>
      </c>
      <c r="E153">
        <v>5</v>
      </c>
      <c r="F153">
        <v>23786</v>
      </c>
      <c r="G153">
        <v>11893</v>
      </c>
      <c r="H153" s="1">
        <v>45611</v>
      </c>
      <c r="I153" s="2" t="s">
        <v>17</v>
      </c>
      <c r="J153" s="2" t="s">
        <v>50</v>
      </c>
    </row>
    <row r="154" spans="2:10" x14ac:dyDescent="0.35">
      <c r="B154" s="2" t="s">
        <v>200</v>
      </c>
      <c r="C154" s="2" t="s">
        <v>19</v>
      </c>
      <c r="D154" s="2" t="s">
        <v>20</v>
      </c>
      <c r="E154">
        <v>1</v>
      </c>
      <c r="F154">
        <v>871936</v>
      </c>
      <c r="G154">
        <v>871936</v>
      </c>
      <c r="H154" s="1">
        <v>45567</v>
      </c>
      <c r="I154" s="2" t="s">
        <v>33</v>
      </c>
      <c r="J154" s="2" t="s">
        <v>57</v>
      </c>
    </row>
    <row r="155" spans="2:10" x14ac:dyDescent="0.35">
      <c r="B155" s="2" t="s">
        <v>201</v>
      </c>
      <c r="C155" s="2" t="s">
        <v>55</v>
      </c>
      <c r="D155" s="2" t="s">
        <v>56</v>
      </c>
      <c r="E155">
        <v>10</v>
      </c>
      <c r="F155">
        <v>3296</v>
      </c>
      <c r="G155">
        <v>3296</v>
      </c>
      <c r="H155" s="1">
        <v>45490</v>
      </c>
      <c r="I155" s="2" t="s">
        <v>33</v>
      </c>
      <c r="J155" s="2" t="s">
        <v>36</v>
      </c>
    </row>
    <row r="156" spans="2:10" x14ac:dyDescent="0.35">
      <c r="B156" s="2" t="s">
        <v>202</v>
      </c>
      <c r="C156" s="2" t="s">
        <v>19</v>
      </c>
      <c r="D156" s="2" t="s">
        <v>20</v>
      </c>
      <c r="E156">
        <v>1</v>
      </c>
      <c r="F156">
        <v>933161</v>
      </c>
      <c r="G156">
        <v>933161</v>
      </c>
      <c r="H156" s="1">
        <v>45505</v>
      </c>
      <c r="I156" s="2" t="s">
        <v>24</v>
      </c>
      <c r="J156" s="2" t="s">
        <v>65</v>
      </c>
    </row>
    <row r="157" spans="2:10" x14ac:dyDescent="0.35">
      <c r="B157" s="2" t="s">
        <v>203</v>
      </c>
      <c r="C157" s="2" t="s">
        <v>61</v>
      </c>
      <c r="D157" s="2" t="s">
        <v>30</v>
      </c>
      <c r="E157">
        <v>2</v>
      </c>
      <c r="F157">
        <v>91739</v>
      </c>
      <c r="G157">
        <v>183478</v>
      </c>
      <c r="H157" s="1">
        <v>45518</v>
      </c>
      <c r="I157" s="2" t="s">
        <v>17</v>
      </c>
      <c r="J157" s="2" t="s">
        <v>84</v>
      </c>
    </row>
    <row r="158" spans="2:10" x14ac:dyDescent="0.35">
      <c r="B158" s="2" t="s">
        <v>204</v>
      </c>
      <c r="C158" s="2" t="s">
        <v>55</v>
      </c>
      <c r="D158" s="2" t="s">
        <v>56</v>
      </c>
      <c r="E158">
        <v>15</v>
      </c>
      <c r="F158">
        <v>2146</v>
      </c>
      <c r="G158">
        <v>3219</v>
      </c>
      <c r="H158" s="1">
        <v>45493</v>
      </c>
      <c r="I158" s="2" t="s">
        <v>17</v>
      </c>
      <c r="J158" s="2" t="s">
        <v>97</v>
      </c>
    </row>
    <row r="159" spans="2:10" x14ac:dyDescent="0.35">
      <c r="B159" s="2" t="s">
        <v>205</v>
      </c>
      <c r="C159" s="2" t="s">
        <v>55</v>
      </c>
      <c r="D159" s="2" t="s">
        <v>56</v>
      </c>
      <c r="E159">
        <v>11</v>
      </c>
      <c r="F159">
        <v>2581</v>
      </c>
      <c r="G159">
        <v>28391</v>
      </c>
      <c r="H159" s="1">
        <v>45364</v>
      </c>
      <c r="I159" s="2" t="s">
        <v>12</v>
      </c>
      <c r="J159" s="2" t="s">
        <v>34</v>
      </c>
    </row>
    <row r="160" spans="2:10" x14ac:dyDescent="0.35">
      <c r="B160" s="2" t="s">
        <v>206</v>
      </c>
      <c r="C160" s="2" t="s">
        <v>38</v>
      </c>
      <c r="D160" s="2" t="s">
        <v>23</v>
      </c>
      <c r="E160">
        <v>2</v>
      </c>
      <c r="F160">
        <v>1397</v>
      </c>
      <c r="G160">
        <v>2794</v>
      </c>
      <c r="H160" s="1">
        <v>45441</v>
      </c>
      <c r="I160" s="2" t="s">
        <v>24</v>
      </c>
      <c r="J160" s="2" t="s">
        <v>95</v>
      </c>
    </row>
    <row r="161" spans="2:10" x14ac:dyDescent="0.35">
      <c r="B161" s="2" t="s">
        <v>207</v>
      </c>
      <c r="C161" s="2" t="s">
        <v>19</v>
      </c>
      <c r="D161" s="2" t="s">
        <v>20</v>
      </c>
      <c r="E161">
        <v>1</v>
      </c>
      <c r="F161">
        <v>919359</v>
      </c>
      <c r="G161">
        <v>919359</v>
      </c>
      <c r="H161" s="1">
        <v>45500</v>
      </c>
      <c r="I161" s="2" t="s">
        <v>33</v>
      </c>
      <c r="J161" s="2" t="s">
        <v>45</v>
      </c>
    </row>
    <row r="162" spans="2:10" x14ac:dyDescent="0.35">
      <c r="B162" s="2" t="s">
        <v>208</v>
      </c>
      <c r="C162" s="2" t="s">
        <v>22</v>
      </c>
      <c r="D162" s="2" t="s">
        <v>23</v>
      </c>
      <c r="E162">
        <v>16</v>
      </c>
      <c r="F162">
        <v>171</v>
      </c>
      <c r="G162">
        <v>2736</v>
      </c>
      <c r="H162" s="1">
        <v>45357</v>
      </c>
      <c r="I162" s="2" t="s">
        <v>17</v>
      </c>
      <c r="J162" s="2" t="s">
        <v>13</v>
      </c>
    </row>
    <row r="163" spans="2:10" x14ac:dyDescent="0.35">
      <c r="B163" s="2" t="s">
        <v>209</v>
      </c>
      <c r="C163" s="2" t="s">
        <v>29</v>
      </c>
      <c r="D163" s="2" t="s">
        <v>30</v>
      </c>
      <c r="E163">
        <v>3</v>
      </c>
      <c r="F163">
        <v>29178</v>
      </c>
      <c r="G163">
        <v>87534</v>
      </c>
      <c r="H163" s="1">
        <v>45325</v>
      </c>
      <c r="I163" s="2" t="s">
        <v>33</v>
      </c>
      <c r="J163" s="2" t="s">
        <v>50</v>
      </c>
    </row>
    <row r="164" spans="2:10" x14ac:dyDescent="0.35">
      <c r="B164" s="2" t="s">
        <v>210</v>
      </c>
      <c r="C164" s="2" t="s">
        <v>10</v>
      </c>
      <c r="D164" s="2" t="s">
        <v>11</v>
      </c>
      <c r="E164">
        <v>18</v>
      </c>
      <c r="F164">
        <v>12129</v>
      </c>
      <c r="G164">
        <v>218322</v>
      </c>
      <c r="H164" s="1">
        <v>45405</v>
      </c>
      <c r="I164" s="2" t="s">
        <v>33</v>
      </c>
      <c r="J164" s="2" t="s">
        <v>36</v>
      </c>
    </row>
    <row r="165" spans="2:10" x14ac:dyDescent="0.35">
      <c r="B165" s="2" t="s">
        <v>211</v>
      </c>
      <c r="C165" s="2" t="s">
        <v>15</v>
      </c>
      <c r="D165" s="2" t="s">
        <v>16</v>
      </c>
      <c r="E165">
        <v>6</v>
      </c>
      <c r="F165">
        <v>638</v>
      </c>
      <c r="G165">
        <v>3828</v>
      </c>
      <c r="H165" s="1">
        <v>45387</v>
      </c>
      <c r="I165" s="2" t="s">
        <v>33</v>
      </c>
      <c r="J165" s="2" t="s">
        <v>57</v>
      </c>
    </row>
    <row r="166" spans="2:10" x14ac:dyDescent="0.35">
      <c r="B166" s="2" t="s">
        <v>212</v>
      </c>
      <c r="C166" s="2" t="s">
        <v>15</v>
      </c>
      <c r="D166" s="2" t="s">
        <v>16</v>
      </c>
      <c r="E166">
        <v>11</v>
      </c>
      <c r="F166">
        <v>993</v>
      </c>
      <c r="G166">
        <v>10923</v>
      </c>
      <c r="H166" s="1">
        <v>45456</v>
      </c>
      <c r="I166" s="2" t="s">
        <v>43</v>
      </c>
      <c r="J166" s="2" t="s">
        <v>57</v>
      </c>
    </row>
    <row r="167" spans="2:10" x14ac:dyDescent="0.35">
      <c r="B167" s="2" t="s">
        <v>213</v>
      </c>
      <c r="C167" s="2" t="s">
        <v>38</v>
      </c>
      <c r="D167" s="2" t="s">
        <v>23</v>
      </c>
      <c r="E167">
        <v>6</v>
      </c>
      <c r="F167">
        <v>1954</v>
      </c>
      <c r="G167">
        <v>11724</v>
      </c>
      <c r="H167" s="1">
        <v>45603</v>
      </c>
      <c r="I167" s="2" t="s">
        <v>33</v>
      </c>
      <c r="J167" s="2" t="s">
        <v>25</v>
      </c>
    </row>
    <row r="168" spans="2:10" x14ac:dyDescent="0.35">
      <c r="B168" s="2" t="s">
        <v>214</v>
      </c>
      <c r="C168" s="2" t="s">
        <v>19</v>
      </c>
      <c r="D168" s="2" t="s">
        <v>20</v>
      </c>
      <c r="E168">
        <v>1</v>
      </c>
      <c r="F168">
        <v>533546</v>
      </c>
      <c r="G168">
        <v>533546</v>
      </c>
      <c r="H168" s="1">
        <v>45441</v>
      </c>
      <c r="I168" s="2" t="s">
        <v>33</v>
      </c>
      <c r="J168" s="2" t="s">
        <v>84</v>
      </c>
    </row>
    <row r="169" spans="2:10" x14ac:dyDescent="0.35">
      <c r="B169" s="2" t="s">
        <v>215</v>
      </c>
      <c r="C169" s="2" t="s">
        <v>29</v>
      </c>
      <c r="D169" s="2" t="s">
        <v>30</v>
      </c>
      <c r="E169">
        <v>6</v>
      </c>
      <c r="F169">
        <v>18293</v>
      </c>
      <c r="G169">
        <v>109758</v>
      </c>
      <c r="H169" s="1">
        <v>45449</v>
      </c>
      <c r="I169" s="2" t="s">
        <v>17</v>
      </c>
      <c r="J169" s="2" t="s">
        <v>34</v>
      </c>
    </row>
    <row r="170" spans="2:10" x14ac:dyDescent="0.35">
      <c r="B170" s="2" t="s">
        <v>216</v>
      </c>
      <c r="C170" s="2" t="s">
        <v>61</v>
      </c>
      <c r="D170" s="2" t="s">
        <v>30</v>
      </c>
      <c r="E170">
        <v>4</v>
      </c>
      <c r="F170">
        <v>95586</v>
      </c>
      <c r="G170">
        <v>382344</v>
      </c>
      <c r="H170" s="1">
        <v>45424</v>
      </c>
      <c r="I170" s="2" t="s">
        <v>17</v>
      </c>
      <c r="J170" s="2" t="s">
        <v>134</v>
      </c>
    </row>
    <row r="171" spans="2:10" x14ac:dyDescent="0.35">
      <c r="B171" s="2" t="s">
        <v>217</v>
      </c>
      <c r="C171" s="2" t="s">
        <v>55</v>
      </c>
      <c r="D171" s="2" t="s">
        <v>56</v>
      </c>
      <c r="E171">
        <v>7</v>
      </c>
      <c r="F171">
        <v>3533</v>
      </c>
      <c r="G171">
        <v>24731</v>
      </c>
      <c r="H171" s="1">
        <v>45512</v>
      </c>
      <c r="I171" s="2" t="s">
        <v>17</v>
      </c>
      <c r="J171" s="2" t="s">
        <v>50</v>
      </c>
    </row>
    <row r="172" spans="2:10" x14ac:dyDescent="0.35">
      <c r="B172" s="2" t="s">
        <v>218</v>
      </c>
      <c r="C172" s="2" t="s">
        <v>55</v>
      </c>
      <c r="D172" s="2" t="s">
        <v>56</v>
      </c>
      <c r="E172">
        <v>7</v>
      </c>
      <c r="F172">
        <v>4279</v>
      </c>
      <c r="G172">
        <v>29953</v>
      </c>
      <c r="H172" s="1">
        <v>45447</v>
      </c>
      <c r="I172" s="2" t="s">
        <v>43</v>
      </c>
      <c r="J172" s="2" t="s">
        <v>50</v>
      </c>
    </row>
    <row r="173" spans="2:10" x14ac:dyDescent="0.35">
      <c r="B173" s="2" t="s">
        <v>219</v>
      </c>
      <c r="C173" s="2" t="s">
        <v>53</v>
      </c>
      <c r="D173" s="2" t="s">
        <v>30</v>
      </c>
      <c r="E173">
        <v>9</v>
      </c>
      <c r="F173">
        <v>28563</v>
      </c>
      <c r="G173">
        <v>257067</v>
      </c>
      <c r="H173" s="1">
        <v>45623</v>
      </c>
      <c r="I173" s="2" t="s">
        <v>12</v>
      </c>
      <c r="J173" s="2" t="s">
        <v>97</v>
      </c>
    </row>
    <row r="174" spans="2:10" x14ac:dyDescent="0.35">
      <c r="B174" s="2" t="s">
        <v>220</v>
      </c>
      <c r="C174" s="2" t="s">
        <v>61</v>
      </c>
      <c r="D174" s="2" t="s">
        <v>30</v>
      </c>
      <c r="E174">
        <v>6</v>
      </c>
      <c r="F174">
        <v>94167</v>
      </c>
      <c r="G174">
        <v>565002</v>
      </c>
      <c r="H174" s="1">
        <v>45379</v>
      </c>
      <c r="I174" s="2" t="s">
        <v>17</v>
      </c>
      <c r="J174" s="2" t="s">
        <v>45</v>
      </c>
    </row>
    <row r="175" spans="2:10" x14ac:dyDescent="0.35">
      <c r="B175" s="2" t="s">
        <v>221</v>
      </c>
      <c r="C175" s="2" t="s">
        <v>10</v>
      </c>
      <c r="D175" s="2" t="s">
        <v>11</v>
      </c>
      <c r="E175">
        <v>3</v>
      </c>
      <c r="F175">
        <v>11751</v>
      </c>
      <c r="G175">
        <v>35253</v>
      </c>
      <c r="H175" s="1">
        <v>45403</v>
      </c>
      <c r="I175" s="2" t="s">
        <v>33</v>
      </c>
      <c r="J175" s="2" t="s">
        <v>50</v>
      </c>
    </row>
    <row r="176" spans="2:10" x14ac:dyDescent="0.35">
      <c r="B176" s="2" t="s">
        <v>222</v>
      </c>
      <c r="C176" s="2" t="s">
        <v>10</v>
      </c>
      <c r="D176" s="2" t="s">
        <v>11</v>
      </c>
      <c r="E176">
        <v>6</v>
      </c>
      <c r="F176">
        <v>16875</v>
      </c>
      <c r="G176">
        <v>10125</v>
      </c>
      <c r="H176" s="1">
        <v>45493</v>
      </c>
      <c r="I176" s="2" t="s">
        <v>43</v>
      </c>
      <c r="J176" s="2" t="s">
        <v>27</v>
      </c>
    </row>
    <row r="177" spans="2:10" x14ac:dyDescent="0.35">
      <c r="B177" s="2" t="s">
        <v>223</v>
      </c>
      <c r="C177" s="2" t="s">
        <v>10</v>
      </c>
      <c r="D177" s="2" t="s">
        <v>11</v>
      </c>
      <c r="E177">
        <v>14</v>
      </c>
      <c r="F177">
        <v>12844</v>
      </c>
      <c r="G177">
        <v>179816</v>
      </c>
      <c r="H177" s="1">
        <v>45450</v>
      </c>
      <c r="I177" s="2" t="s">
        <v>24</v>
      </c>
      <c r="J177" s="2" t="s">
        <v>57</v>
      </c>
    </row>
    <row r="178" spans="2:10" x14ac:dyDescent="0.35">
      <c r="B178" s="2" t="s">
        <v>224</v>
      </c>
      <c r="C178" s="2" t="s">
        <v>55</v>
      </c>
      <c r="D178" s="2" t="s">
        <v>56</v>
      </c>
      <c r="E178">
        <v>10</v>
      </c>
      <c r="F178">
        <v>4054</v>
      </c>
      <c r="G178">
        <v>4054</v>
      </c>
      <c r="H178" s="1">
        <v>45562</v>
      </c>
      <c r="I178" s="2" t="s">
        <v>33</v>
      </c>
      <c r="J178" s="2" t="s">
        <v>59</v>
      </c>
    </row>
    <row r="179" spans="2:10" x14ac:dyDescent="0.35">
      <c r="B179" s="2" t="s">
        <v>225</v>
      </c>
      <c r="C179" s="2" t="s">
        <v>19</v>
      </c>
      <c r="D179" s="2" t="s">
        <v>20</v>
      </c>
      <c r="E179">
        <v>1</v>
      </c>
      <c r="F179">
        <v>983653</v>
      </c>
      <c r="G179">
        <v>983653</v>
      </c>
      <c r="H179" s="1">
        <v>45622</v>
      </c>
      <c r="I179" s="2" t="s">
        <v>12</v>
      </c>
      <c r="J179" s="2" t="s">
        <v>57</v>
      </c>
    </row>
    <row r="180" spans="2:10" x14ac:dyDescent="0.35">
      <c r="B180" s="2" t="s">
        <v>226</v>
      </c>
      <c r="C180" s="2" t="s">
        <v>53</v>
      </c>
      <c r="D180" s="2" t="s">
        <v>30</v>
      </c>
      <c r="E180">
        <v>12</v>
      </c>
      <c r="F180">
        <v>33318</v>
      </c>
      <c r="G180">
        <v>399816</v>
      </c>
      <c r="H180" s="1">
        <v>45649</v>
      </c>
      <c r="I180" s="2" t="s">
        <v>12</v>
      </c>
      <c r="J180" s="2" t="s">
        <v>86</v>
      </c>
    </row>
    <row r="181" spans="2:10" x14ac:dyDescent="0.35">
      <c r="B181" s="2" t="s">
        <v>227</v>
      </c>
      <c r="C181" s="2" t="s">
        <v>22</v>
      </c>
      <c r="D181" s="2" t="s">
        <v>23</v>
      </c>
      <c r="E181">
        <v>17</v>
      </c>
      <c r="F181">
        <v>186</v>
      </c>
      <c r="G181">
        <v>3162</v>
      </c>
      <c r="H181" s="1">
        <v>45606</v>
      </c>
      <c r="I181" s="2" t="s">
        <v>17</v>
      </c>
      <c r="J181" s="2" t="s">
        <v>80</v>
      </c>
    </row>
    <row r="182" spans="2:10" x14ac:dyDescent="0.35">
      <c r="B182" s="2" t="s">
        <v>228</v>
      </c>
      <c r="C182" s="2" t="s">
        <v>15</v>
      </c>
      <c r="D182" s="2" t="s">
        <v>16</v>
      </c>
      <c r="E182">
        <v>15</v>
      </c>
      <c r="F182">
        <v>683</v>
      </c>
      <c r="G182">
        <v>10245</v>
      </c>
      <c r="H182" s="1">
        <v>45362</v>
      </c>
      <c r="I182" s="2" t="s">
        <v>43</v>
      </c>
      <c r="J182" s="2" t="s">
        <v>59</v>
      </c>
    </row>
    <row r="183" spans="2:10" x14ac:dyDescent="0.35">
      <c r="B183" s="2" t="s">
        <v>229</v>
      </c>
      <c r="C183" s="2" t="s">
        <v>41</v>
      </c>
      <c r="D183" s="2" t="s">
        <v>11</v>
      </c>
      <c r="E183">
        <v>4</v>
      </c>
      <c r="F183">
        <v>13246</v>
      </c>
      <c r="G183">
        <v>52984</v>
      </c>
      <c r="H183" s="1">
        <v>45639</v>
      </c>
      <c r="I183" s="2" t="s">
        <v>17</v>
      </c>
      <c r="J183" s="2" t="s">
        <v>31</v>
      </c>
    </row>
    <row r="184" spans="2:10" x14ac:dyDescent="0.35">
      <c r="B184" s="2" t="s">
        <v>230</v>
      </c>
      <c r="C184" s="2" t="s">
        <v>61</v>
      </c>
      <c r="D184" s="2" t="s">
        <v>30</v>
      </c>
      <c r="E184">
        <v>8</v>
      </c>
      <c r="F184">
        <v>85163</v>
      </c>
      <c r="G184">
        <v>681304</v>
      </c>
      <c r="H184" s="1">
        <v>45496</v>
      </c>
      <c r="I184" s="2" t="s">
        <v>12</v>
      </c>
      <c r="J184" s="2" t="s">
        <v>50</v>
      </c>
    </row>
    <row r="185" spans="2:10" x14ac:dyDescent="0.35">
      <c r="B185" s="2" t="s">
        <v>231</v>
      </c>
      <c r="C185" s="2" t="s">
        <v>61</v>
      </c>
      <c r="D185" s="2" t="s">
        <v>30</v>
      </c>
      <c r="E185">
        <v>8</v>
      </c>
      <c r="F185">
        <v>84047</v>
      </c>
      <c r="G185">
        <v>672376</v>
      </c>
      <c r="H185" s="1">
        <v>45622</v>
      </c>
      <c r="I185" s="2" t="s">
        <v>33</v>
      </c>
      <c r="J185" s="2" t="s">
        <v>48</v>
      </c>
    </row>
    <row r="186" spans="2:10" x14ac:dyDescent="0.35">
      <c r="B186" s="2" t="s">
        <v>232</v>
      </c>
      <c r="C186" s="2" t="s">
        <v>22</v>
      </c>
      <c r="D186" s="2" t="s">
        <v>23</v>
      </c>
      <c r="E186">
        <v>11</v>
      </c>
      <c r="F186">
        <v>21</v>
      </c>
      <c r="G186">
        <v>231</v>
      </c>
      <c r="H186" s="1">
        <v>45488</v>
      </c>
      <c r="I186" s="2" t="s">
        <v>24</v>
      </c>
      <c r="J186" s="2" t="s">
        <v>80</v>
      </c>
    </row>
    <row r="187" spans="2:10" x14ac:dyDescent="0.35">
      <c r="B187" s="2" t="s">
        <v>233</v>
      </c>
      <c r="C187" s="2" t="s">
        <v>10</v>
      </c>
      <c r="D187" s="2" t="s">
        <v>11</v>
      </c>
      <c r="E187">
        <v>20</v>
      </c>
      <c r="F187">
        <v>18722</v>
      </c>
      <c r="G187">
        <v>37444</v>
      </c>
      <c r="H187" s="1">
        <v>45537</v>
      </c>
      <c r="I187" s="2" t="s">
        <v>24</v>
      </c>
      <c r="J187" s="2" t="s">
        <v>57</v>
      </c>
    </row>
    <row r="188" spans="2:10" x14ac:dyDescent="0.35">
      <c r="B188" s="2" t="s">
        <v>234</v>
      </c>
      <c r="C188" s="2" t="s">
        <v>19</v>
      </c>
      <c r="D188" s="2" t="s">
        <v>20</v>
      </c>
      <c r="E188">
        <v>1</v>
      </c>
      <c r="F188">
        <v>990924</v>
      </c>
      <c r="G188">
        <v>990924</v>
      </c>
      <c r="H188" s="1">
        <v>45463</v>
      </c>
      <c r="I188" s="2" t="s">
        <v>33</v>
      </c>
      <c r="J188" s="2" t="s">
        <v>97</v>
      </c>
    </row>
    <row r="189" spans="2:10" x14ac:dyDescent="0.35">
      <c r="B189" s="2" t="s">
        <v>235</v>
      </c>
      <c r="C189" s="2" t="s">
        <v>41</v>
      </c>
      <c r="D189" s="2" t="s">
        <v>11</v>
      </c>
      <c r="E189">
        <v>6</v>
      </c>
      <c r="F189">
        <v>16303</v>
      </c>
      <c r="G189">
        <v>97818</v>
      </c>
      <c r="H189" s="1">
        <v>45454</v>
      </c>
      <c r="I189" s="2" t="s">
        <v>24</v>
      </c>
      <c r="J189" s="2" t="s">
        <v>70</v>
      </c>
    </row>
    <row r="190" spans="2:10" x14ac:dyDescent="0.35">
      <c r="B190" s="2" t="s">
        <v>236</v>
      </c>
      <c r="C190" s="2" t="s">
        <v>22</v>
      </c>
      <c r="D190" s="2" t="s">
        <v>23</v>
      </c>
      <c r="E190">
        <v>13</v>
      </c>
      <c r="F190">
        <v>253</v>
      </c>
      <c r="G190">
        <v>3289</v>
      </c>
      <c r="H190" s="1">
        <v>45564</v>
      </c>
      <c r="I190" s="2" t="s">
        <v>24</v>
      </c>
      <c r="J190" s="2" t="s">
        <v>84</v>
      </c>
    </row>
    <row r="191" spans="2:10" x14ac:dyDescent="0.35">
      <c r="B191" s="2" t="s">
        <v>237</v>
      </c>
      <c r="C191" s="2" t="s">
        <v>53</v>
      </c>
      <c r="D191" s="2" t="s">
        <v>30</v>
      </c>
      <c r="E191">
        <v>11</v>
      </c>
      <c r="F191">
        <v>34616</v>
      </c>
      <c r="G191">
        <v>380776</v>
      </c>
      <c r="H191" s="1">
        <v>45353</v>
      </c>
      <c r="I191" s="2" t="s">
        <v>17</v>
      </c>
      <c r="J191" s="2" t="s">
        <v>57</v>
      </c>
    </row>
    <row r="192" spans="2:10" x14ac:dyDescent="0.35">
      <c r="B192" s="2" t="s">
        <v>238</v>
      </c>
      <c r="C192" s="2" t="s">
        <v>41</v>
      </c>
      <c r="D192" s="2" t="s">
        <v>11</v>
      </c>
      <c r="E192">
        <v>18</v>
      </c>
      <c r="F192">
        <v>16531</v>
      </c>
      <c r="G192">
        <v>297558</v>
      </c>
      <c r="H192" s="1">
        <v>45408</v>
      </c>
      <c r="I192" s="2" t="s">
        <v>33</v>
      </c>
      <c r="J192" s="2" t="s">
        <v>45</v>
      </c>
    </row>
    <row r="193" spans="2:10" x14ac:dyDescent="0.35">
      <c r="B193" s="2" t="s">
        <v>239</v>
      </c>
      <c r="C193" s="2" t="s">
        <v>53</v>
      </c>
      <c r="D193" s="2" t="s">
        <v>30</v>
      </c>
      <c r="E193">
        <v>18</v>
      </c>
      <c r="F193">
        <v>3312</v>
      </c>
      <c r="G193">
        <v>59616</v>
      </c>
      <c r="H193" s="1">
        <v>45375</v>
      </c>
      <c r="I193" s="2" t="s">
        <v>43</v>
      </c>
      <c r="J193" s="2" t="s">
        <v>59</v>
      </c>
    </row>
    <row r="194" spans="2:10" x14ac:dyDescent="0.35">
      <c r="B194" s="2" t="s">
        <v>240</v>
      </c>
      <c r="C194" s="2" t="s">
        <v>22</v>
      </c>
      <c r="D194" s="2" t="s">
        <v>23</v>
      </c>
      <c r="E194">
        <v>2</v>
      </c>
      <c r="F194">
        <v>189</v>
      </c>
      <c r="G194">
        <v>378</v>
      </c>
      <c r="H194" s="1">
        <v>45311</v>
      </c>
      <c r="I194" s="2" t="s">
        <v>24</v>
      </c>
      <c r="J194" s="2" t="s">
        <v>59</v>
      </c>
    </row>
    <row r="195" spans="2:10" x14ac:dyDescent="0.35">
      <c r="B195" s="2" t="s">
        <v>241</v>
      </c>
      <c r="C195" s="2" t="s">
        <v>41</v>
      </c>
      <c r="D195" s="2" t="s">
        <v>11</v>
      </c>
      <c r="E195">
        <v>17</v>
      </c>
      <c r="F195">
        <v>1538</v>
      </c>
      <c r="G195">
        <v>26146</v>
      </c>
      <c r="H195" s="1">
        <v>45431</v>
      </c>
      <c r="I195" s="2" t="s">
        <v>33</v>
      </c>
      <c r="J195" s="2" t="s">
        <v>25</v>
      </c>
    </row>
    <row r="196" spans="2:10" x14ac:dyDescent="0.35">
      <c r="B196" s="2" t="s">
        <v>242</v>
      </c>
      <c r="C196" s="2" t="s">
        <v>22</v>
      </c>
      <c r="D196" s="2" t="s">
        <v>23</v>
      </c>
      <c r="E196">
        <v>13</v>
      </c>
      <c r="F196">
        <v>106</v>
      </c>
      <c r="G196">
        <v>1378</v>
      </c>
      <c r="H196" s="1">
        <v>45502</v>
      </c>
      <c r="I196" s="2" t="s">
        <v>17</v>
      </c>
      <c r="J196" s="2" t="s">
        <v>50</v>
      </c>
    </row>
    <row r="197" spans="2:10" x14ac:dyDescent="0.35">
      <c r="B197" s="2" t="s">
        <v>243</v>
      </c>
      <c r="C197" s="2" t="s">
        <v>55</v>
      </c>
      <c r="D197" s="2" t="s">
        <v>56</v>
      </c>
      <c r="E197">
        <v>6</v>
      </c>
      <c r="F197">
        <v>3332</v>
      </c>
      <c r="G197">
        <v>19992</v>
      </c>
      <c r="H197" s="1">
        <v>45327</v>
      </c>
      <c r="I197" s="2" t="s">
        <v>43</v>
      </c>
      <c r="J197" s="2" t="s">
        <v>34</v>
      </c>
    </row>
    <row r="198" spans="2:10" x14ac:dyDescent="0.35">
      <c r="B198" s="2" t="s">
        <v>244</v>
      </c>
      <c r="C198" s="2" t="s">
        <v>53</v>
      </c>
      <c r="D198" s="2" t="s">
        <v>30</v>
      </c>
      <c r="E198">
        <v>13</v>
      </c>
      <c r="F198">
        <v>30702</v>
      </c>
      <c r="G198">
        <v>399126</v>
      </c>
      <c r="H198" s="1">
        <v>45362</v>
      </c>
      <c r="I198" s="2" t="s">
        <v>43</v>
      </c>
      <c r="J198" s="2" t="s">
        <v>34</v>
      </c>
    </row>
    <row r="199" spans="2:10" x14ac:dyDescent="0.35">
      <c r="B199" s="2" t="s">
        <v>245</v>
      </c>
      <c r="C199" s="2" t="s">
        <v>19</v>
      </c>
      <c r="D199" s="2" t="s">
        <v>20</v>
      </c>
      <c r="E199">
        <v>1</v>
      </c>
      <c r="F199">
        <v>86140</v>
      </c>
      <c r="G199">
        <v>86140</v>
      </c>
      <c r="H199" s="1">
        <v>45629</v>
      </c>
      <c r="I199" s="2" t="s">
        <v>33</v>
      </c>
      <c r="J199" s="2" t="s">
        <v>65</v>
      </c>
    </row>
    <row r="200" spans="2:10" x14ac:dyDescent="0.35">
      <c r="B200" s="2" t="s">
        <v>246</v>
      </c>
      <c r="C200" s="2" t="s">
        <v>41</v>
      </c>
      <c r="D200" s="2" t="s">
        <v>11</v>
      </c>
      <c r="E200">
        <v>7</v>
      </c>
      <c r="F200">
        <v>18764</v>
      </c>
      <c r="G200">
        <v>131348</v>
      </c>
      <c r="H200" s="1">
        <v>45342</v>
      </c>
      <c r="I200" s="2" t="s">
        <v>17</v>
      </c>
      <c r="J200" s="2" t="s">
        <v>48</v>
      </c>
    </row>
    <row r="201" spans="2:10" x14ac:dyDescent="0.35">
      <c r="B201" s="2" t="s">
        <v>247</v>
      </c>
      <c r="C201" s="2" t="s">
        <v>15</v>
      </c>
      <c r="D201" s="2" t="s">
        <v>16</v>
      </c>
      <c r="E201">
        <v>18</v>
      </c>
      <c r="F201">
        <v>585</v>
      </c>
      <c r="G201">
        <v>1053</v>
      </c>
      <c r="H201" s="1">
        <v>45510</v>
      </c>
      <c r="I201" s="2" t="s">
        <v>24</v>
      </c>
      <c r="J201" s="2" t="s">
        <v>70</v>
      </c>
    </row>
    <row r="202" spans="2:10" x14ac:dyDescent="0.35">
      <c r="B202" s="2" t="s">
        <v>248</v>
      </c>
      <c r="C202" s="2" t="s">
        <v>22</v>
      </c>
      <c r="D202" s="2" t="s">
        <v>23</v>
      </c>
      <c r="E202">
        <v>9</v>
      </c>
      <c r="F202">
        <v>284</v>
      </c>
      <c r="G202">
        <v>2556</v>
      </c>
      <c r="H202" s="1">
        <v>45358</v>
      </c>
      <c r="I202" s="2" t="s">
        <v>43</v>
      </c>
      <c r="J202" s="2" t="s">
        <v>86</v>
      </c>
    </row>
    <row r="203" spans="2:10" x14ac:dyDescent="0.35">
      <c r="B203" s="2" t="s">
        <v>249</v>
      </c>
      <c r="C203" s="2" t="s">
        <v>41</v>
      </c>
      <c r="D203" s="2" t="s">
        <v>11</v>
      </c>
      <c r="E203">
        <v>19</v>
      </c>
      <c r="F203">
        <v>19895</v>
      </c>
      <c r="G203">
        <v>378005</v>
      </c>
      <c r="H203" s="1">
        <v>45628</v>
      </c>
      <c r="I203" s="2" t="s">
        <v>43</v>
      </c>
      <c r="J203" s="2" t="s">
        <v>31</v>
      </c>
    </row>
    <row r="204" spans="2:10" x14ac:dyDescent="0.35">
      <c r="B204" s="2" t="s">
        <v>250</v>
      </c>
      <c r="C204" s="2" t="s">
        <v>29</v>
      </c>
      <c r="D204" s="2" t="s">
        <v>30</v>
      </c>
      <c r="E204">
        <v>20</v>
      </c>
      <c r="F204">
        <v>22048</v>
      </c>
      <c r="G204">
        <v>44096</v>
      </c>
      <c r="H204" s="1">
        <v>45419</v>
      </c>
      <c r="I204" s="2" t="s">
        <v>12</v>
      </c>
      <c r="J204" s="2" t="s">
        <v>50</v>
      </c>
    </row>
    <row r="205" spans="2:10" x14ac:dyDescent="0.35">
      <c r="B205" s="2" t="s">
        <v>251</v>
      </c>
      <c r="C205" s="2" t="s">
        <v>15</v>
      </c>
      <c r="D205" s="2" t="s">
        <v>16</v>
      </c>
      <c r="E205">
        <v>11</v>
      </c>
      <c r="F205">
        <v>99</v>
      </c>
      <c r="G205">
        <v>1089</v>
      </c>
      <c r="H205" s="1">
        <v>45398</v>
      </c>
      <c r="I205" s="2" t="s">
        <v>33</v>
      </c>
      <c r="J205" s="2" t="s">
        <v>25</v>
      </c>
    </row>
    <row r="206" spans="2:10" x14ac:dyDescent="0.35">
      <c r="B206" s="2" t="s">
        <v>252</v>
      </c>
      <c r="C206" s="2" t="s">
        <v>38</v>
      </c>
      <c r="D206" s="2" t="s">
        <v>23</v>
      </c>
      <c r="E206">
        <v>20</v>
      </c>
      <c r="F206">
        <v>1021</v>
      </c>
      <c r="G206">
        <v>2042</v>
      </c>
      <c r="H206" s="1">
        <v>45409</v>
      </c>
      <c r="I206" s="2" t="s">
        <v>24</v>
      </c>
      <c r="J206" s="2" t="s">
        <v>80</v>
      </c>
    </row>
    <row r="207" spans="2:10" x14ac:dyDescent="0.35">
      <c r="B207" s="2" t="s">
        <v>253</v>
      </c>
      <c r="C207" s="2" t="s">
        <v>15</v>
      </c>
      <c r="D207" s="2" t="s">
        <v>16</v>
      </c>
      <c r="E207">
        <v>15</v>
      </c>
      <c r="F207">
        <v>899</v>
      </c>
      <c r="G207">
        <v>13485</v>
      </c>
      <c r="H207" s="1">
        <v>45350</v>
      </c>
      <c r="I207" s="2" t="s">
        <v>33</v>
      </c>
      <c r="J207" s="2" t="s">
        <v>36</v>
      </c>
    </row>
    <row r="208" spans="2:10" x14ac:dyDescent="0.35">
      <c r="B208" s="2" t="s">
        <v>254</v>
      </c>
      <c r="C208" s="2" t="s">
        <v>22</v>
      </c>
      <c r="D208" s="2" t="s">
        <v>23</v>
      </c>
      <c r="E208">
        <v>9</v>
      </c>
      <c r="F208">
        <v>22</v>
      </c>
      <c r="G208">
        <v>198</v>
      </c>
      <c r="H208" s="1">
        <v>45606</v>
      </c>
      <c r="I208" s="2" t="s">
        <v>24</v>
      </c>
      <c r="J208" s="2" t="s">
        <v>65</v>
      </c>
    </row>
    <row r="209" spans="2:10" x14ac:dyDescent="0.35">
      <c r="B209" s="2" t="s">
        <v>255</v>
      </c>
      <c r="C209" s="2" t="s">
        <v>15</v>
      </c>
      <c r="D209" s="2" t="s">
        <v>16</v>
      </c>
      <c r="E209">
        <v>17</v>
      </c>
      <c r="F209">
        <v>1261</v>
      </c>
      <c r="G209">
        <v>21437</v>
      </c>
      <c r="H209" s="1">
        <v>45454</v>
      </c>
      <c r="I209" s="2" t="s">
        <v>43</v>
      </c>
      <c r="J209" s="2" t="s">
        <v>97</v>
      </c>
    </row>
    <row r="210" spans="2:10" x14ac:dyDescent="0.35">
      <c r="B210" s="2" t="s">
        <v>256</v>
      </c>
      <c r="C210" s="2" t="s">
        <v>41</v>
      </c>
      <c r="D210" s="2" t="s">
        <v>11</v>
      </c>
      <c r="E210">
        <v>5</v>
      </c>
      <c r="F210">
        <v>15904</v>
      </c>
      <c r="G210">
        <v>7952</v>
      </c>
      <c r="H210" s="1">
        <v>45404</v>
      </c>
      <c r="I210" s="2" t="s">
        <v>33</v>
      </c>
      <c r="J210" s="2" t="s">
        <v>48</v>
      </c>
    </row>
    <row r="211" spans="2:10" x14ac:dyDescent="0.35">
      <c r="B211" s="2" t="s">
        <v>257</v>
      </c>
      <c r="C211" s="2" t="s">
        <v>22</v>
      </c>
      <c r="D211" s="2" t="s">
        <v>23</v>
      </c>
      <c r="E211">
        <v>1</v>
      </c>
      <c r="F211">
        <v>225</v>
      </c>
      <c r="G211">
        <v>225</v>
      </c>
      <c r="H211" s="1">
        <v>45384</v>
      </c>
      <c r="I211" s="2" t="s">
        <v>33</v>
      </c>
      <c r="J211" s="2" t="s">
        <v>36</v>
      </c>
    </row>
    <row r="212" spans="2:10" x14ac:dyDescent="0.35">
      <c r="B212" s="2" t="s">
        <v>258</v>
      </c>
      <c r="C212" s="2" t="s">
        <v>15</v>
      </c>
      <c r="D212" s="2" t="s">
        <v>16</v>
      </c>
      <c r="E212">
        <v>10</v>
      </c>
      <c r="F212">
        <v>692</v>
      </c>
      <c r="G212">
        <v>692</v>
      </c>
      <c r="H212" s="1">
        <v>45403</v>
      </c>
      <c r="I212" s="2" t="s">
        <v>33</v>
      </c>
      <c r="J212" s="2" t="s">
        <v>86</v>
      </c>
    </row>
    <row r="213" spans="2:10" x14ac:dyDescent="0.35">
      <c r="B213" s="2" t="s">
        <v>259</v>
      </c>
      <c r="C213" s="2" t="s">
        <v>41</v>
      </c>
      <c r="D213" s="2" t="s">
        <v>11</v>
      </c>
      <c r="E213">
        <v>2</v>
      </c>
      <c r="F213">
        <v>18927</v>
      </c>
      <c r="G213">
        <v>37854</v>
      </c>
      <c r="H213" s="1">
        <v>45472</v>
      </c>
      <c r="I213" s="2" t="s">
        <v>33</v>
      </c>
      <c r="J213" s="2" t="s">
        <v>25</v>
      </c>
    </row>
    <row r="214" spans="2:10" x14ac:dyDescent="0.35">
      <c r="B214" s="2" t="s">
        <v>260</v>
      </c>
      <c r="C214" s="2" t="s">
        <v>61</v>
      </c>
      <c r="D214" s="2" t="s">
        <v>30</v>
      </c>
      <c r="E214">
        <v>14</v>
      </c>
      <c r="F214">
        <v>83827</v>
      </c>
      <c r="G214">
        <v>1173578</v>
      </c>
      <c r="H214" s="1">
        <v>45296</v>
      </c>
      <c r="I214" s="2" t="s">
        <v>17</v>
      </c>
      <c r="J214" s="2" t="s">
        <v>27</v>
      </c>
    </row>
    <row r="215" spans="2:10" x14ac:dyDescent="0.35">
      <c r="B215" s="2" t="s">
        <v>261</v>
      </c>
      <c r="C215" s="2" t="s">
        <v>15</v>
      </c>
      <c r="D215" s="2" t="s">
        <v>16</v>
      </c>
      <c r="E215">
        <v>16</v>
      </c>
      <c r="F215">
        <v>1136</v>
      </c>
      <c r="G215">
        <v>18176</v>
      </c>
      <c r="H215" s="1">
        <v>45372</v>
      </c>
      <c r="I215" s="2" t="s">
        <v>17</v>
      </c>
      <c r="J215" s="2" t="s">
        <v>45</v>
      </c>
    </row>
    <row r="216" spans="2:10" x14ac:dyDescent="0.35">
      <c r="B216" s="2" t="s">
        <v>262</v>
      </c>
      <c r="C216" s="2" t="s">
        <v>15</v>
      </c>
      <c r="D216" s="2" t="s">
        <v>16</v>
      </c>
      <c r="E216">
        <v>7</v>
      </c>
      <c r="F216">
        <v>89</v>
      </c>
      <c r="G216">
        <v>623</v>
      </c>
      <c r="H216" s="1">
        <v>45571</v>
      </c>
      <c r="I216" s="2" t="s">
        <v>33</v>
      </c>
      <c r="J216" s="2" t="s">
        <v>45</v>
      </c>
    </row>
    <row r="217" spans="2:10" x14ac:dyDescent="0.35">
      <c r="B217" s="2" t="s">
        <v>263</v>
      </c>
      <c r="C217" s="2" t="s">
        <v>41</v>
      </c>
      <c r="D217" s="2" t="s">
        <v>11</v>
      </c>
      <c r="E217">
        <v>19</v>
      </c>
      <c r="F217">
        <v>10937</v>
      </c>
      <c r="G217">
        <v>207803</v>
      </c>
      <c r="H217" s="1">
        <v>45357</v>
      </c>
      <c r="I217" s="2" t="s">
        <v>43</v>
      </c>
      <c r="J217" s="2" t="s">
        <v>84</v>
      </c>
    </row>
    <row r="218" spans="2:10" x14ac:dyDescent="0.35">
      <c r="B218" s="2" t="s">
        <v>264</v>
      </c>
      <c r="C218" s="2" t="s">
        <v>10</v>
      </c>
      <c r="D218" s="2" t="s">
        <v>11</v>
      </c>
      <c r="E218">
        <v>8</v>
      </c>
      <c r="F218">
        <v>18138</v>
      </c>
      <c r="G218">
        <v>145104</v>
      </c>
      <c r="H218" s="1">
        <v>45353</v>
      </c>
      <c r="I218" s="2" t="s">
        <v>24</v>
      </c>
      <c r="J218" s="2" t="s">
        <v>80</v>
      </c>
    </row>
    <row r="219" spans="2:10" x14ac:dyDescent="0.35">
      <c r="B219" s="2" t="s">
        <v>265</v>
      </c>
      <c r="C219" s="2" t="s">
        <v>22</v>
      </c>
      <c r="D219" s="2" t="s">
        <v>23</v>
      </c>
      <c r="E219">
        <v>17</v>
      </c>
      <c r="F219">
        <v>134</v>
      </c>
      <c r="G219">
        <v>2278</v>
      </c>
      <c r="H219" s="1">
        <v>45432</v>
      </c>
      <c r="I219" s="2" t="s">
        <v>33</v>
      </c>
      <c r="J219" s="2" t="s">
        <v>80</v>
      </c>
    </row>
    <row r="220" spans="2:10" x14ac:dyDescent="0.35">
      <c r="B220" s="2" t="s">
        <v>266</v>
      </c>
      <c r="C220" s="2" t="s">
        <v>10</v>
      </c>
      <c r="D220" s="2" t="s">
        <v>11</v>
      </c>
      <c r="E220">
        <v>7</v>
      </c>
      <c r="F220">
        <v>1647</v>
      </c>
      <c r="G220">
        <v>11529</v>
      </c>
      <c r="H220" s="1">
        <v>45343</v>
      </c>
      <c r="I220" s="2" t="s">
        <v>43</v>
      </c>
      <c r="J220" s="2" t="s">
        <v>65</v>
      </c>
    </row>
    <row r="221" spans="2:10" x14ac:dyDescent="0.35">
      <c r="B221" s="2" t="s">
        <v>267</v>
      </c>
      <c r="C221" s="2" t="s">
        <v>22</v>
      </c>
      <c r="D221" s="2" t="s">
        <v>23</v>
      </c>
      <c r="E221">
        <v>13</v>
      </c>
      <c r="F221">
        <v>223</v>
      </c>
      <c r="G221">
        <v>2899</v>
      </c>
      <c r="H221" s="1">
        <v>45376</v>
      </c>
      <c r="I221" s="2" t="s">
        <v>33</v>
      </c>
      <c r="J221" s="2" t="s">
        <v>59</v>
      </c>
    </row>
    <row r="222" spans="2:10" x14ac:dyDescent="0.35">
      <c r="B222" s="2" t="s">
        <v>268</v>
      </c>
      <c r="C222" s="2" t="s">
        <v>22</v>
      </c>
      <c r="D222" s="2" t="s">
        <v>23</v>
      </c>
      <c r="E222">
        <v>2</v>
      </c>
      <c r="F222">
        <v>176</v>
      </c>
      <c r="G222">
        <v>352</v>
      </c>
      <c r="H222" s="1">
        <v>45344</v>
      </c>
      <c r="I222" s="2" t="s">
        <v>43</v>
      </c>
      <c r="J222" s="2" t="s">
        <v>13</v>
      </c>
    </row>
    <row r="223" spans="2:10" x14ac:dyDescent="0.35">
      <c r="B223" s="2" t="s">
        <v>269</v>
      </c>
      <c r="C223" s="2" t="s">
        <v>15</v>
      </c>
      <c r="D223" s="2" t="s">
        <v>16</v>
      </c>
      <c r="E223">
        <v>14</v>
      </c>
      <c r="F223">
        <v>834</v>
      </c>
      <c r="G223">
        <v>11676</v>
      </c>
      <c r="H223" s="1">
        <v>45622</v>
      </c>
      <c r="I223" s="2" t="s">
        <v>24</v>
      </c>
      <c r="J223" s="2" t="s">
        <v>86</v>
      </c>
    </row>
    <row r="224" spans="2:10" x14ac:dyDescent="0.35">
      <c r="B224" s="2" t="s">
        <v>270</v>
      </c>
      <c r="C224" s="2" t="s">
        <v>53</v>
      </c>
      <c r="D224" s="2" t="s">
        <v>30</v>
      </c>
      <c r="E224">
        <v>10</v>
      </c>
      <c r="F224">
        <v>26791</v>
      </c>
      <c r="G224">
        <v>26791</v>
      </c>
      <c r="H224" s="1">
        <v>45483</v>
      </c>
      <c r="I224" s="2" t="s">
        <v>12</v>
      </c>
      <c r="J224" s="2" t="s">
        <v>97</v>
      </c>
    </row>
    <row r="225" spans="2:10" x14ac:dyDescent="0.35">
      <c r="B225" s="2" t="s">
        <v>271</v>
      </c>
      <c r="C225" s="2" t="s">
        <v>61</v>
      </c>
      <c r="D225" s="2" t="s">
        <v>30</v>
      </c>
      <c r="E225">
        <v>11</v>
      </c>
      <c r="F225">
        <v>80822</v>
      </c>
      <c r="G225">
        <v>889042</v>
      </c>
      <c r="H225" s="1">
        <v>45537</v>
      </c>
      <c r="I225" s="2" t="s">
        <v>12</v>
      </c>
      <c r="J225" s="2" t="s">
        <v>70</v>
      </c>
    </row>
    <row r="226" spans="2:10" x14ac:dyDescent="0.35">
      <c r="B226" s="2" t="s">
        <v>272</v>
      </c>
      <c r="C226" s="2" t="s">
        <v>29</v>
      </c>
      <c r="D226" s="2" t="s">
        <v>30</v>
      </c>
      <c r="E226">
        <v>2</v>
      </c>
      <c r="F226">
        <v>2708</v>
      </c>
      <c r="G226">
        <v>5416</v>
      </c>
      <c r="H226" s="1">
        <v>45583</v>
      </c>
      <c r="I226" s="2" t="s">
        <v>17</v>
      </c>
      <c r="J226" s="2" t="s">
        <v>31</v>
      </c>
    </row>
    <row r="227" spans="2:10" x14ac:dyDescent="0.35">
      <c r="B227" s="2" t="s">
        <v>273</v>
      </c>
      <c r="C227" s="2" t="s">
        <v>19</v>
      </c>
      <c r="D227" s="2" t="s">
        <v>20</v>
      </c>
      <c r="E227">
        <v>1</v>
      </c>
      <c r="F227">
        <v>887625</v>
      </c>
      <c r="G227">
        <v>887625</v>
      </c>
      <c r="H227" s="1">
        <v>45600</v>
      </c>
      <c r="I227" s="2" t="s">
        <v>33</v>
      </c>
      <c r="J227" s="2" t="s">
        <v>34</v>
      </c>
    </row>
    <row r="228" spans="2:10" x14ac:dyDescent="0.35">
      <c r="B228" s="2" t="s">
        <v>274</v>
      </c>
      <c r="C228" s="2" t="s">
        <v>38</v>
      </c>
      <c r="D228" s="2" t="s">
        <v>23</v>
      </c>
      <c r="E228">
        <v>14</v>
      </c>
      <c r="F228">
        <v>1595</v>
      </c>
      <c r="G228">
        <v>2233</v>
      </c>
      <c r="H228" s="1">
        <v>45516</v>
      </c>
      <c r="I228" s="2" t="s">
        <v>12</v>
      </c>
      <c r="J228" s="2" t="s">
        <v>48</v>
      </c>
    </row>
    <row r="229" spans="2:10" x14ac:dyDescent="0.35">
      <c r="B229" s="2" t="s">
        <v>275</v>
      </c>
      <c r="C229" s="2" t="s">
        <v>15</v>
      </c>
      <c r="D229" s="2" t="s">
        <v>16</v>
      </c>
      <c r="E229">
        <v>17</v>
      </c>
      <c r="F229">
        <v>1226</v>
      </c>
      <c r="G229">
        <v>20842</v>
      </c>
      <c r="H229" s="1">
        <v>45375</v>
      </c>
      <c r="I229" s="2" t="s">
        <v>17</v>
      </c>
      <c r="J229" s="2" t="s">
        <v>59</v>
      </c>
    </row>
    <row r="230" spans="2:10" x14ac:dyDescent="0.35">
      <c r="B230" s="2" t="s">
        <v>276</v>
      </c>
      <c r="C230" s="2" t="s">
        <v>61</v>
      </c>
      <c r="D230" s="2" t="s">
        <v>30</v>
      </c>
      <c r="E230">
        <v>4</v>
      </c>
      <c r="F230">
        <v>92027</v>
      </c>
      <c r="G230">
        <v>368108</v>
      </c>
      <c r="H230" s="1">
        <v>45630</v>
      </c>
      <c r="I230" s="2" t="s">
        <v>33</v>
      </c>
      <c r="J230" s="2" t="s">
        <v>31</v>
      </c>
    </row>
    <row r="231" spans="2:10" x14ac:dyDescent="0.35">
      <c r="B231" s="2" t="s">
        <v>277</v>
      </c>
      <c r="C231" s="2" t="s">
        <v>55</v>
      </c>
      <c r="D231" s="2" t="s">
        <v>56</v>
      </c>
      <c r="E231">
        <v>20</v>
      </c>
      <c r="F231">
        <v>3338</v>
      </c>
      <c r="G231">
        <v>6676</v>
      </c>
      <c r="H231" s="1">
        <v>45553</v>
      </c>
      <c r="I231" s="2" t="s">
        <v>12</v>
      </c>
      <c r="J231" s="2" t="s">
        <v>34</v>
      </c>
    </row>
    <row r="232" spans="2:10" x14ac:dyDescent="0.35">
      <c r="B232" s="2" t="s">
        <v>278</v>
      </c>
      <c r="C232" s="2" t="s">
        <v>10</v>
      </c>
      <c r="D232" s="2" t="s">
        <v>11</v>
      </c>
      <c r="E232">
        <v>19</v>
      </c>
      <c r="F232">
        <v>12067</v>
      </c>
      <c r="G232">
        <v>229273</v>
      </c>
      <c r="H232" s="1">
        <v>45316</v>
      </c>
      <c r="I232" s="2" t="s">
        <v>17</v>
      </c>
      <c r="J232" s="2" t="s">
        <v>57</v>
      </c>
    </row>
    <row r="233" spans="2:10" x14ac:dyDescent="0.35">
      <c r="B233" s="2" t="s">
        <v>279</v>
      </c>
      <c r="C233" s="2" t="s">
        <v>10</v>
      </c>
      <c r="D233" s="2" t="s">
        <v>11</v>
      </c>
      <c r="E233">
        <v>10</v>
      </c>
      <c r="F233">
        <v>15566</v>
      </c>
      <c r="G233">
        <v>15566</v>
      </c>
      <c r="H233" s="1">
        <v>45580</v>
      </c>
      <c r="I233" s="2" t="s">
        <v>24</v>
      </c>
      <c r="J233" s="2" t="s">
        <v>70</v>
      </c>
    </row>
    <row r="234" spans="2:10" x14ac:dyDescent="0.35">
      <c r="B234" s="2" t="s">
        <v>280</v>
      </c>
      <c r="C234" s="2" t="s">
        <v>29</v>
      </c>
      <c r="D234" s="2" t="s">
        <v>30</v>
      </c>
      <c r="E234">
        <v>4</v>
      </c>
      <c r="F234">
        <v>17506</v>
      </c>
      <c r="G234">
        <v>70024</v>
      </c>
      <c r="H234" s="1">
        <v>45579</v>
      </c>
      <c r="I234" s="2" t="s">
        <v>12</v>
      </c>
      <c r="J234" s="2" t="s">
        <v>59</v>
      </c>
    </row>
    <row r="235" spans="2:10" x14ac:dyDescent="0.35">
      <c r="B235" s="2" t="s">
        <v>281</v>
      </c>
      <c r="C235" s="2" t="s">
        <v>38</v>
      </c>
      <c r="D235" s="2" t="s">
        <v>23</v>
      </c>
      <c r="E235">
        <v>11</v>
      </c>
      <c r="F235">
        <v>1666</v>
      </c>
      <c r="G235">
        <v>18326</v>
      </c>
      <c r="H235" s="1">
        <v>45395</v>
      </c>
      <c r="I235" s="2" t="s">
        <v>12</v>
      </c>
      <c r="J235" s="2" t="s">
        <v>13</v>
      </c>
    </row>
    <row r="236" spans="2:10" x14ac:dyDescent="0.35">
      <c r="B236" s="2" t="s">
        <v>282</v>
      </c>
      <c r="C236" s="2" t="s">
        <v>53</v>
      </c>
      <c r="D236" s="2" t="s">
        <v>30</v>
      </c>
      <c r="E236">
        <v>15</v>
      </c>
      <c r="F236">
        <v>38195</v>
      </c>
      <c r="G236">
        <v>572925</v>
      </c>
      <c r="H236" s="1">
        <v>45423</v>
      </c>
      <c r="I236" s="2" t="s">
        <v>33</v>
      </c>
      <c r="J236" s="2" t="s">
        <v>48</v>
      </c>
    </row>
    <row r="237" spans="2:10" x14ac:dyDescent="0.35">
      <c r="B237" s="2" t="s">
        <v>283</v>
      </c>
      <c r="C237" s="2" t="s">
        <v>15</v>
      </c>
      <c r="D237" s="2" t="s">
        <v>16</v>
      </c>
      <c r="E237">
        <v>15</v>
      </c>
      <c r="F237">
        <v>975</v>
      </c>
      <c r="G237">
        <v>14625</v>
      </c>
      <c r="H237" s="1">
        <v>45604</v>
      </c>
      <c r="I237" s="2" t="s">
        <v>24</v>
      </c>
      <c r="J237" s="2" t="s">
        <v>45</v>
      </c>
    </row>
    <row r="238" spans="2:10" x14ac:dyDescent="0.35">
      <c r="B238" s="2" t="s">
        <v>284</v>
      </c>
      <c r="C238" s="2" t="s">
        <v>15</v>
      </c>
      <c r="D238" s="2" t="s">
        <v>16</v>
      </c>
      <c r="E238">
        <v>12</v>
      </c>
      <c r="F238">
        <v>80</v>
      </c>
      <c r="G238">
        <v>960</v>
      </c>
      <c r="H238" s="1">
        <v>45557</v>
      </c>
      <c r="I238" s="2" t="s">
        <v>24</v>
      </c>
      <c r="J238" s="2" t="s">
        <v>59</v>
      </c>
    </row>
    <row r="239" spans="2:10" x14ac:dyDescent="0.35">
      <c r="B239" s="2" t="s">
        <v>285</v>
      </c>
      <c r="C239" s="2" t="s">
        <v>15</v>
      </c>
      <c r="D239" s="2" t="s">
        <v>16</v>
      </c>
      <c r="E239">
        <v>14</v>
      </c>
      <c r="F239">
        <v>1262</v>
      </c>
      <c r="G239">
        <v>17668</v>
      </c>
      <c r="H239" s="1">
        <v>45351</v>
      </c>
      <c r="I239" s="2" t="s">
        <v>24</v>
      </c>
      <c r="J239" s="2" t="s">
        <v>65</v>
      </c>
    </row>
    <row r="240" spans="2:10" x14ac:dyDescent="0.35">
      <c r="B240" s="2" t="s">
        <v>286</v>
      </c>
      <c r="C240" s="2" t="s">
        <v>55</v>
      </c>
      <c r="D240" s="2" t="s">
        <v>56</v>
      </c>
      <c r="E240">
        <v>1</v>
      </c>
      <c r="F240">
        <v>2072</v>
      </c>
      <c r="G240">
        <v>2072</v>
      </c>
      <c r="H240" s="1">
        <v>45476</v>
      </c>
      <c r="I240" s="2" t="s">
        <v>24</v>
      </c>
      <c r="J240" s="2" t="s">
        <v>48</v>
      </c>
    </row>
    <row r="241" spans="2:10" x14ac:dyDescent="0.35">
      <c r="B241" s="2" t="s">
        <v>287</v>
      </c>
      <c r="C241" s="2" t="s">
        <v>41</v>
      </c>
      <c r="D241" s="2" t="s">
        <v>11</v>
      </c>
      <c r="E241">
        <v>8</v>
      </c>
      <c r="F241">
        <v>16412</v>
      </c>
      <c r="G241">
        <v>131296</v>
      </c>
      <c r="H241" s="1">
        <v>45343</v>
      </c>
      <c r="I241" s="2" t="s">
        <v>17</v>
      </c>
      <c r="J241" s="2" t="s">
        <v>39</v>
      </c>
    </row>
    <row r="242" spans="2:10" x14ac:dyDescent="0.35">
      <c r="B242" s="2" t="s">
        <v>288</v>
      </c>
      <c r="C242" s="2" t="s">
        <v>29</v>
      </c>
      <c r="D242" s="2" t="s">
        <v>30</v>
      </c>
      <c r="E242">
        <v>9</v>
      </c>
      <c r="F242">
        <v>25432</v>
      </c>
      <c r="G242">
        <v>228888</v>
      </c>
      <c r="H242" s="1">
        <v>45530</v>
      </c>
      <c r="I242" s="2" t="s">
        <v>12</v>
      </c>
      <c r="J242" s="2" t="s">
        <v>65</v>
      </c>
    </row>
    <row r="243" spans="2:10" x14ac:dyDescent="0.35">
      <c r="B243" s="2" t="s">
        <v>289</v>
      </c>
      <c r="C243" s="2" t="s">
        <v>53</v>
      </c>
      <c r="D243" s="2" t="s">
        <v>30</v>
      </c>
      <c r="E243">
        <v>20</v>
      </c>
      <c r="F243">
        <v>27103</v>
      </c>
      <c r="G243">
        <v>54206</v>
      </c>
      <c r="H243" s="1">
        <v>45544</v>
      </c>
      <c r="I243" s="2" t="s">
        <v>24</v>
      </c>
      <c r="J243" s="2" t="s">
        <v>80</v>
      </c>
    </row>
    <row r="244" spans="2:10" x14ac:dyDescent="0.35">
      <c r="B244" s="2" t="s">
        <v>290</v>
      </c>
      <c r="C244" s="2" t="s">
        <v>38</v>
      </c>
      <c r="D244" s="2" t="s">
        <v>23</v>
      </c>
      <c r="E244">
        <v>11</v>
      </c>
      <c r="F244">
        <v>1566</v>
      </c>
      <c r="G244">
        <v>17226</v>
      </c>
      <c r="H244" s="1">
        <v>45502</v>
      </c>
      <c r="I244" s="2" t="s">
        <v>24</v>
      </c>
      <c r="J244" s="2" t="s">
        <v>57</v>
      </c>
    </row>
    <row r="245" spans="2:10" x14ac:dyDescent="0.35">
      <c r="B245" s="2" t="s">
        <v>291</v>
      </c>
      <c r="C245" s="2" t="s">
        <v>22</v>
      </c>
      <c r="D245" s="2" t="s">
        <v>23</v>
      </c>
      <c r="E245">
        <v>15</v>
      </c>
      <c r="F245">
        <v>216</v>
      </c>
      <c r="G245">
        <v>324</v>
      </c>
      <c r="H245" s="1">
        <v>45365</v>
      </c>
      <c r="I245" s="2" t="s">
        <v>43</v>
      </c>
      <c r="J245" s="2" t="s">
        <v>84</v>
      </c>
    </row>
    <row r="246" spans="2:10" x14ac:dyDescent="0.35">
      <c r="B246" s="2" t="s">
        <v>292</v>
      </c>
      <c r="C246" s="2" t="s">
        <v>55</v>
      </c>
      <c r="D246" s="2" t="s">
        <v>56</v>
      </c>
      <c r="E246">
        <v>3</v>
      </c>
      <c r="F246">
        <v>4357</v>
      </c>
      <c r="G246">
        <v>13071</v>
      </c>
      <c r="H246" s="1">
        <v>45610</v>
      </c>
      <c r="I246" s="2" t="s">
        <v>12</v>
      </c>
      <c r="J246" s="2" t="s">
        <v>134</v>
      </c>
    </row>
    <row r="247" spans="2:10" x14ac:dyDescent="0.35">
      <c r="B247" s="2" t="s">
        <v>293</v>
      </c>
      <c r="C247" s="2" t="s">
        <v>10</v>
      </c>
      <c r="D247" s="2" t="s">
        <v>11</v>
      </c>
      <c r="E247">
        <v>9</v>
      </c>
      <c r="F247">
        <v>17005</v>
      </c>
      <c r="G247">
        <v>153045</v>
      </c>
      <c r="H247" s="1">
        <v>45368</v>
      </c>
      <c r="I247" s="2" t="s">
        <v>12</v>
      </c>
      <c r="J247" s="2" t="s">
        <v>65</v>
      </c>
    </row>
    <row r="248" spans="2:10" x14ac:dyDescent="0.35">
      <c r="B248" s="2" t="s">
        <v>294</v>
      </c>
      <c r="C248" s="2" t="s">
        <v>22</v>
      </c>
      <c r="D248" s="2" t="s">
        <v>23</v>
      </c>
      <c r="E248">
        <v>1</v>
      </c>
      <c r="F248">
        <v>157</v>
      </c>
      <c r="G248">
        <v>157</v>
      </c>
      <c r="H248" s="1">
        <v>45318</v>
      </c>
      <c r="I248" s="2" t="s">
        <v>12</v>
      </c>
      <c r="J248" s="2" t="s">
        <v>27</v>
      </c>
    </row>
    <row r="249" spans="2:10" x14ac:dyDescent="0.35">
      <c r="B249" s="2" t="s">
        <v>295</v>
      </c>
      <c r="C249" s="2" t="s">
        <v>55</v>
      </c>
      <c r="D249" s="2" t="s">
        <v>56</v>
      </c>
      <c r="E249">
        <v>15</v>
      </c>
      <c r="F249">
        <v>406</v>
      </c>
      <c r="G249">
        <v>6090</v>
      </c>
      <c r="H249" s="1">
        <v>45537</v>
      </c>
      <c r="I249" s="2" t="s">
        <v>24</v>
      </c>
      <c r="J249" s="2" t="s">
        <v>80</v>
      </c>
    </row>
    <row r="250" spans="2:10" x14ac:dyDescent="0.35">
      <c r="B250" s="2" t="s">
        <v>296</v>
      </c>
      <c r="C250" s="2" t="s">
        <v>29</v>
      </c>
      <c r="D250" s="2" t="s">
        <v>30</v>
      </c>
      <c r="E250">
        <v>14</v>
      </c>
      <c r="F250">
        <v>27222</v>
      </c>
      <c r="G250">
        <v>381108</v>
      </c>
      <c r="H250" s="1">
        <v>45401</v>
      </c>
      <c r="I250" s="2" t="s">
        <v>24</v>
      </c>
      <c r="J250" s="2" t="s">
        <v>25</v>
      </c>
    </row>
    <row r="251" spans="2:10" x14ac:dyDescent="0.35">
      <c r="B251" s="2" t="s">
        <v>297</v>
      </c>
      <c r="C251" s="2" t="s">
        <v>38</v>
      </c>
      <c r="D251" s="2" t="s">
        <v>23</v>
      </c>
      <c r="E251">
        <v>14</v>
      </c>
      <c r="F251">
        <v>1419</v>
      </c>
      <c r="G251">
        <v>19866</v>
      </c>
      <c r="H251" s="1">
        <v>45539</v>
      </c>
      <c r="I251" s="2" t="s">
        <v>33</v>
      </c>
      <c r="J251" s="2" t="s">
        <v>39</v>
      </c>
    </row>
    <row r="252" spans="2:10" x14ac:dyDescent="0.35">
      <c r="B252" s="2" t="s">
        <v>298</v>
      </c>
      <c r="C252" s="2" t="s">
        <v>10</v>
      </c>
      <c r="D252" s="2" t="s">
        <v>11</v>
      </c>
      <c r="E252">
        <v>19</v>
      </c>
      <c r="F252">
        <v>16529</v>
      </c>
      <c r="G252">
        <v>314051</v>
      </c>
      <c r="H252" s="1">
        <v>45496</v>
      </c>
      <c r="I252" s="2" t="s">
        <v>33</v>
      </c>
      <c r="J252" s="2" t="s">
        <v>65</v>
      </c>
    </row>
    <row r="253" spans="2:10" x14ac:dyDescent="0.35">
      <c r="B253" s="2" t="s">
        <v>299</v>
      </c>
      <c r="C253" s="2" t="s">
        <v>22</v>
      </c>
      <c r="D253" s="2" t="s">
        <v>23</v>
      </c>
      <c r="E253">
        <v>13</v>
      </c>
      <c r="F253">
        <v>175</v>
      </c>
      <c r="G253">
        <v>2275</v>
      </c>
      <c r="H253" s="1">
        <v>45440</v>
      </c>
      <c r="I253" s="2" t="s">
        <v>33</v>
      </c>
      <c r="J253" s="2" t="s">
        <v>84</v>
      </c>
    </row>
    <row r="254" spans="2:10" x14ac:dyDescent="0.35">
      <c r="B254" s="2" t="s">
        <v>300</v>
      </c>
      <c r="C254" s="2" t="s">
        <v>10</v>
      </c>
      <c r="D254" s="2" t="s">
        <v>11</v>
      </c>
      <c r="E254">
        <v>8</v>
      </c>
      <c r="F254">
        <v>14626</v>
      </c>
      <c r="G254">
        <v>117008</v>
      </c>
      <c r="H254" s="1">
        <v>45478</v>
      </c>
      <c r="I254" s="2" t="s">
        <v>33</v>
      </c>
      <c r="J254" s="2" t="s">
        <v>86</v>
      </c>
    </row>
    <row r="255" spans="2:10" x14ac:dyDescent="0.35">
      <c r="B255" s="2" t="s">
        <v>301</v>
      </c>
      <c r="C255" s="2" t="s">
        <v>15</v>
      </c>
      <c r="D255" s="2" t="s">
        <v>16</v>
      </c>
      <c r="E255">
        <v>19</v>
      </c>
      <c r="F255">
        <v>633</v>
      </c>
      <c r="G255">
        <v>12027</v>
      </c>
      <c r="H255" s="1">
        <v>45434</v>
      </c>
      <c r="I255" s="2" t="s">
        <v>17</v>
      </c>
      <c r="J255" s="2" t="s">
        <v>45</v>
      </c>
    </row>
    <row r="256" spans="2:10" x14ac:dyDescent="0.35">
      <c r="B256" s="2" t="s">
        <v>302</v>
      </c>
      <c r="C256" s="2" t="s">
        <v>61</v>
      </c>
      <c r="D256" s="2" t="s">
        <v>30</v>
      </c>
      <c r="E256">
        <v>11</v>
      </c>
      <c r="F256">
        <v>9607</v>
      </c>
      <c r="G256">
        <v>105677</v>
      </c>
      <c r="H256" s="1">
        <v>45587</v>
      </c>
      <c r="I256" s="2" t="s">
        <v>12</v>
      </c>
      <c r="J256" s="2" t="s">
        <v>34</v>
      </c>
    </row>
    <row r="257" spans="2:10" x14ac:dyDescent="0.35">
      <c r="B257" s="2" t="s">
        <v>303</v>
      </c>
      <c r="C257" s="2" t="s">
        <v>19</v>
      </c>
      <c r="D257" s="2" t="s">
        <v>20</v>
      </c>
      <c r="E257">
        <v>1</v>
      </c>
      <c r="F257">
        <v>531545</v>
      </c>
      <c r="G257">
        <v>531545</v>
      </c>
      <c r="H257" s="1">
        <v>45604</v>
      </c>
      <c r="I257" s="2" t="s">
        <v>24</v>
      </c>
      <c r="J257" s="2" t="s">
        <v>97</v>
      </c>
    </row>
    <row r="258" spans="2:10" x14ac:dyDescent="0.35">
      <c r="B258" s="2" t="s">
        <v>304</v>
      </c>
      <c r="C258" s="2" t="s">
        <v>15</v>
      </c>
      <c r="D258" s="2" t="s">
        <v>16</v>
      </c>
      <c r="E258">
        <v>1</v>
      </c>
      <c r="F258">
        <v>877</v>
      </c>
      <c r="G258">
        <v>877</v>
      </c>
      <c r="H258" s="1">
        <v>45402</v>
      </c>
      <c r="I258" s="2" t="s">
        <v>12</v>
      </c>
      <c r="J258" s="2" t="s">
        <v>31</v>
      </c>
    </row>
    <row r="259" spans="2:10" x14ac:dyDescent="0.35">
      <c r="B259" s="2" t="s">
        <v>305</v>
      </c>
      <c r="C259" s="2" t="s">
        <v>41</v>
      </c>
      <c r="D259" s="2" t="s">
        <v>11</v>
      </c>
      <c r="E259">
        <v>17</v>
      </c>
      <c r="F259">
        <v>15266</v>
      </c>
      <c r="G259">
        <v>259522</v>
      </c>
      <c r="H259" s="1">
        <v>45634</v>
      </c>
      <c r="I259" s="2" t="s">
        <v>33</v>
      </c>
      <c r="J259" s="2" t="s">
        <v>84</v>
      </c>
    </row>
    <row r="260" spans="2:10" x14ac:dyDescent="0.35">
      <c r="B260" s="2" t="s">
        <v>306</v>
      </c>
      <c r="C260" s="2" t="s">
        <v>53</v>
      </c>
      <c r="D260" s="2" t="s">
        <v>30</v>
      </c>
      <c r="E260">
        <v>1</v>
      </c>
      <c r="F260">
        <v>23393</v>
      </c>
      <c r="G260">
        <v>23393</v>
      </c>
      <c r="H260" s="1">
        <v>45485</v>
      </c>
      <c r="I260" s="2" t="s">
        <v>12</v>
      </c>
      <c r="J260" s="2" t="s">
        <v>80</v>
      </c>
    </row>
    <row r="261" spans="2:10" x14ac:dyDescent="0.35">
      <c r="B261" s="2" t="s">
        <v>307</v>
      </c>
      <c r="C261" s="2" t="s">
        <v>10</v>
      </c>
      <c r="D261" s="2" t="s">
        <v>11</v>
      </c>
      <c r="E261">
        <v>2</v>
      </c>
      <c r="F261">
        <v>19818</v>
      </c>
      <c r="G261">
        <v>39636</v>
      </c>
      <c r="H261" s="1">
        <v>45553</v>
      </c>
      <c r="I261" s="2" t="s">
        <v>33</v>
      </c>
      <c r="J261" s="2" t="s">
        <v>97</v>
      </c>
    </row>
    <row r="262" spans="2:10" x14ac:dyDescent="0.35">
      <c r="B262" s="2" t="s">
        <v>308</v>
      </c>
      <c r="C262" s="2" t="s">
        <v>15</v>
      </c>
      <c r="D262" s="2" t="s">
        <v>16</v>
      </c>
      <c r="E262">
        <v>1</v>
      </c>
      <c r="F262">
        <v>1402</v>
      </c>
      <c r="G262">
        <v>1402</v>
      </c>
      <c r="H262" s="1">
        <v>45647</v>
      </c>
      <c r="I262" s="2" t="s">
        <v>43</v>
      </c>
      <c r="J262" s="2" t="s">
        <v>27</v>
      </c>
    </row>
    <row r="263" spans="2:10" x14ac:dyDescent="0.35">
      <c r="B263" s="2" t="s">
        <v>309</v>
      </c>
      <c r="C263" s="2" t="s">
        <v>10</v>
      </c>
      <c r="D263" s="2" t="s">
        <v>11</v>
      </c>
      <c r="E263">
        <v>17</v>
      </c>
      <c r="F263">
        <v>15557</v>
      </c>
      <c r="G263">
        <v>264469</v>
      </c>
      <c r="H263" s="1">
        <v>45636</v>
      </c>
      <c r="I263" s="2" t="s">
        <v>33</v>
      </c>
      <c r="J263" s="2" t="s">
        <v>45</v>
      </c>
    </row>
    <row r="264" spans="2:10" x14ac:dyDescent="0.35">
      <c r="B264" s="2" t="s">
        <v>310</v>
      </c>
      <c r="C264" s="2" t="s">
        <v>61</v>
      </c>
      <c r="D264" s="2" t="s">
        <v>30</v>
      </c>
      <c r="E264">
        <v>11</v>
      </c>
      <c r="F264">
        <v>97194</v>
      </c>
      <c r="G264">
        <v>1069134</v>
      </c>
      <c r="H264" s="1">
        <v>45619</v>
      </c>
      <c r="I264" s="2" t="s">
        <v>43</v>
      </c>
      <c r="J264" s="2" t="s">
        <v>97</v>
      </c>
    </row>
    <row r="265" spans="2:10" x14ac:dyDescent="0.35">
      <c r="B265" s="2" t="s">
        <v>311</v>
      </c>
      <c r="C265" s="2" t="s">
        <v>61</v>
      </c>
      <c r="D265" s="2" t="s">
        <v>30</v>
      </c>
      <c r="E265">
        <v>9</v>
      </c>
      <c r="F265">
        <v>90832</v>
      </c>
      <c r="G265">
        <v>817488</v>
      </c>
      <c r="H265" s="1">
        <v>45529</v>
      </c>
      <c r="I265" s="2" t="s">
        <v>43</v>
      </c>
      <c r="J265" s="2" t="s">
        <v>13</v>
      </c>
    </row>
    <row r="266" spans="2:10" x14ac:dyDescent="0.35">
      <c r="B266" s="2" t="s">
        <v>312</v>
      </c>
      <c r="C266" s="2" t="s">
        <v>41</v>
      </c>
      <c r="D266" s="2" t="s">
        <v>11</v>
      </c>
      <c r="E266">
        <v>14</v>
      </c>
      <c r="F266">
        <v>11358</v>
      </c>
      <c r="G266">
        <v>159012</v>
      </c>
      <c r="H266" s="1">
        <v>45451</v>
      </c>
      <c r="I266" s="2" t="s">
        <v>12</v>
      </c>
      <c r="J266" s="2" t="s">
        <v>36</v>
      </c>
    </row>
    <row r="267" spans="2:10" x14ac:dyDescent="0.35">
      <c r="B267" s="2" t="s">
        <v>313</v>
      </c>
      <c r="C267" s="2" t="s">
        <v>53</v>
      </c>
      <c r="D267" s="2" t="s">
        <v>30</v>
      </c>
      <c r="E267">
        <v>10</v>
      </c>
      <c r="F267">
        <v>24282</v>
      </c>
      <c r="G267">
        <v>24282</v>
      </c>
      <c r="H267" s="1">
        <v>45516</v>
      </c>
      <c r="I267" s="2" t="s">
        <v>12</v>
      </c>
      <c r="J267" s="2" t="s">
        <v>134</v>
      </c>
    </row>
    <row r="268" spans="2:10" x14ac:dyDescent="0.35">
      <c r="B268" s="2" t="s">
        <v>314</v>
      </c>
      <c r="C268" s="2" t="s">
        <v>41</v>
      </c>
      <c r="D268" s="2" t="s">
        <v>11</v>
      </c>
      <c r="E268">
        <v>12</v>
      </c>
      <c r="F268">
        <v>17773</v>
      </c>
      <c r="G268">
        <v>213276</v>
      </c>
      <c r="H268" s="1">
        <v>45386</v>
      </c>
      <c r="I268" s="2" t="s">
        <v>33</v>
      </c>
      <c r="J268" s="2" t="s">
        <v>70</v>
      </c>
    </row>
    <row r="269" spans="2:10" x14ac:dyDescent="0.35">
      <c r="B269" s="2" t="s">
        <v>315</v>
      </c>
      <c r="C269" s="2" t="s">
        <v>55</v>
      </c>
      <c r="D269" s="2" t="s">
        <v>56</v>
      </c>
      <c r="E269">
        <v>17</v>
      </c>
      <c r="F269">
        <v>3451</v>
      </c>
      <c r="G269">
        <v>58667</v>
      </c>
      <c r="H269" s="1">
        <v>45292</v>
      </c>
      <c r="I269" s="2" t="s">
        <v>17</v>
      </c>
      <c r="J269" s="2" t="s">
        <v>65</v>
      </c>
    </row>
    <row r="270" spans="2:10" x14ac:dyDescent="0.35">
      <c r="B270" s="2" t="s">
        <v>316</v>
      </c>
      <c r="C270" s="2" t="s">
        <v>29</v>
      </c>
      <c r="D270" s="2" t="s">
        <v>30</v>
      </c>
      <c r="E270">
        <v>4</v>
      </c>
      <c r="F270">
        <v>27736</v>
      </c>
      <c r="G270">
        <v>110944</v>
      </c>
      <c r="H270" s="1">
        <v>45510</v>
      </c>
      <c r="I270" s="2" t="s">
        <v>33</v>
      </c>
      <c r="J270" s="2" t="s">
        <v>25</v>
      </c>
    </row>
    <row r="271" spans="2:10" x14ac:dyDescent="0.35">
      <c r="B271" s="2" t="s">
        <v>317</v>
      </c>
      <c r="C271" s="2" t="s">
        <v>55</v>
      </c>
      <c r="D271" s="2" t="s">
        <v>56</v>
      </c>
      <c r="E271">
        <v>6</v>
      </c>
      <c r="F271">
        <v>2664</v>
      </c>
      <c r="G271">
        <v>15984</v>
      </c>
      <c r="H271" s="1">
        <v>45592</v>
      </c>
      <c r="I271" s="2" t="s">
        <v>43</v>
      </c>
      <c r="J271" s="2" t="s">
        <v>13</v>
      </c>
    </row>
    <row r="272" spans="2:10" x14ac:dyDescent="0.35">
      <c r="B272" s="2" t="s">
        <v>318</v>
      </c>
      <c r="C272" s="2" t="s">
        <v>10</v>
      </c>
      <c r="D272" s="2" t="s">
        <v>11</v>
      </c>
      <c r="E272">
        <v>9</v>
      </c>
      <c r="F272">
        <v>11509</v>
      </c>
      <c r="G272">
        <v>103581</v>
      </c>
      <c r="H272" s="1">
        <v>45314</v>
      </c>
      <c r="I272" s="2" t="s">
        <v>12</v>
      </c>
      <c r="J272" s="2" t="s">
        <v>31</v>
      </c>
    </row>
    <row r="273" spans="2:10" x14ac:dyDescent="0.35">
      <c r="B273" s="2" t="s">
        <v>319</v>
      </c>
      <c r="C273" s="2" t="s">
        <v>61</v>
      </c>
      <c r="D273" s="2" t="s">
        <v>30</v>
      </c>
      <c r="E273">
        <v>2</v>
      </c>
      <c r="F273">
        <v>85947</v>
      </c>
      <c r="G273">
        <v>171894</v>
      </c>
      <c r="H273" s="1">
        <v>45413</v>
      </c>
      <c r="I273" s="2" t="s">
        <v>43</v>
      </c>
      <c r="J273" s="2" t="s">
        <v>134</v>
      </c>
    </row>
    <row r="274" spans="2:10" x14ac:dyDescent="0.35">
      <c r="B274" s="2" t="s">
        <v>320</v>
      </c>
      <c r="C274" s="2" t="s">
        <v>15</v>
      </c>
      <c r="D274" s="2" t="s">
        <v>16</v>
      </c>
      <c r="E274">
        <v>2</v>
      </c>
      <c r="F274">
        <v>1289</v>
      </c>
      <c r="G274">
        <v>2578</v>
      </c>
      <c r="H274" s="1">
        <v>45412</v>
      </c>
      <c r="I274" s="2" t="s">
        <v>43</v>
      </c>
      <c r="J274" s="2" t="s">
        <v>86</v>
      </c>
    </row>
    <row r="275" spans="2:10" x14ac:dyDescent="0.35">
      <c r="B275" s="2" t="s">
        <v>321</v>
      </c>
      <c r="C275" s="2" t="s">
        <v>41</v>
      </c>
      <c r="D275" s="2" t="s">
        <v>11</v>
      </c>
      <c r="E275">
        <v>8</v>
      </c>
      <c r="F275">
        <v>19503</v>
      </c>
      <c r="G275">
        <v>156024</v>
      </c>
      <c r="H275" s="1">
        <v>45332</v>
      </c>
      <c r="I275" s="2" t="s">
        <v>12</v>
      </c>
      <c r="J275" s="2" t="s">
        <v>34</v>
      </c>
    </row>
    <row r="276" spans="2:10" x14ac:dyDescent="0.35">
      <c r="B276" s="2" t="s">
        <v>322</v>
      </c>
      <c r="C276" s="2" t="s">
        <v>53</v>
      </c>
      <c r="D276" s="2" t="s">
        <v>30</v>
      </c>
      <c r="E276">
        <v>4</v>
      </c>
      <c r="F276">
        <v>25489</v>
      </c>
      <c r="G276">
        <v>101956</v>
      </c>
      <c r="H276" s="1">
        <v>45403</v>
      </c>
      <c r="I276" s="2" t="s">
        <v>12</v>
      </c>
      <c r="J276" s="2" t="s">
        <v>25</v>
      </c>
    </row>
    <row r="277" spans="2:10" x14ac:dyDescent="0.35">
      <c r="B277" s="2" t="s">
        <v>323</v>
      </c>
      <c r="C277" s="2" t="s">
        <v>55</v>
      </c>
      <c r="D277" s="2" t="s">
        <v>56</v>
      </c>
      <c r="E277">
        <v>18</v>
      </c>
      <c r="F277">
        <v>4177</v>
      </c>
      <c r="G277">
        <v>75186</v>
      </c>
      <c r="H277" s="1">
        <v>45596</v>
      </c>
      <c r="I277" s="2" t="s">
        <v>33</v>
      </c>
      <c r="J277" s="2" t="s">
        <v>80</v>
      </c>
    </row>
    <row r="278" spans="2:10" x14ac:dyDescent="0.35">
      <c r="B278" s="2" t="s">
        <v>324</v>
      </c>
      <c r="C278" s="2" t="s">
        <v>10</v>
      </c>
      <c r="D278" s="2" t="s">
        <v>11</v>
      </c>
      <c r="E278">
        <v>10</v>
      </c>
      <c r="F278">
        <v>13154</v>
      </c>
      <c r="G278">
        <v>13154</v>
      </c>
      <c r="H278" s="1">
        <v>45490</v>
      </c>
      <c r="I278" s="2" t="s">
        <v>12</v>
      </c>
      <c r="J278" s="2" t="s">
        <v>80</v>
      </c>
    </row>
    <row r="279" spans="2:10" x14ac:dyDescent="0.35">
      <c r="B279" s="2" t="s">
        <v>325</v>
      </c>
      <c r="C279" s="2" t="s">
        <v>15</v>
      </c>
      <c r="D279" s="2" t="s">
        <v>16</v>
      </c>
      <c r="E279">
        <v>5</v>
      </c>
      <c r="F279">
        <v>1133</v>
      </c>
      <c r="G279">
        <v>5665</v>
      </c>
      <c r="H279" s="1">
        <v>45426</v>
      </c>
      <c r="I279" s="2" t="s">
        <v>43</v>
      </c>
      <c r="J279" s="2" t="s">
        <v>57</v>
      </c>
    </row>
    <row r="280" spans="2:10" x14ac:dyDescent="0.35">
      <c r="B280" s="2" t="s">
        <v>326</v>
      </c>
      <c r="C280" s="2" t="s">
        <v>38</v>
      </c>
      <c r="D280" s="2" t="s">
        <v>23</v>
      </c>
      <c r="E280">
        <v>16</v>
      </c>
      <c r="F280">
        <v>1384</v>
      </c>
      <c r="G280">
        <v>22144</v>
      </c>
      <c r="H280" s="1">
        <v>45296</v>
      </c>
      <c r="I280" s="2" t="s">
        <v>24</v>
      </c>
      <c r="J280" s="2" t="s">
        <v>25</v>
      </c>
    </row>
    <row r="281" spans="2:10" x14ac:dyDescent="0.35">
      <c r="B281" s="2" t="s">
        <v>327</v>
      </c>
      <c r="C281" s="2" t="s">
        <v>53</v>
      </c>
      <c r="D281" s="2" t="s">
        <v>30</v>
      </c>
      <c r="E281">
        <v>13</v>
      </c>
      <c r="F281">
        <v>27646</v>
      </c>
      <c r="G281">
        <v>359398</v>
      </c>
      <c r="H281" s="1">
        <v>45451</v>
      </c>
      <c r="I281" s="2" t="s">
        <v>12</v>
      </c>
      <c r="J281" s="2" t="s">
        <v>57</v>
      </c>
    </row>
    <row r="282" spans="2:10" x14ac:dyDescent="0.35">
      <c r="B282" s="2" t="s">
        <v>328</v>
      </c>
      <c r="C282" s="2" t="s">
        <v>53</v>
      </c>
      <c r="D282" s="2" t="s">
        <v>30</v>
      </c>
      <c r="E282">
        <v>12</v>
      </c>
      <c r="F282">
        <v>25377</v>
      </c>
      <c r="G282">
        <v>304524</v>
      </c>
      <c r="H282" s="1">
        <v>45350</v>
      </c>
      <c r="I282" s="2" t="s">
        <v>24</v>
      </c>
      <c r="J282" s="2" t="s">
        <v>134</v>
      </c>
    </row>
    <row r="283" spans="2:10" x14ac:dyDescent="0.35">
      <c r="B283" s="2" t="s">
        <v>329</v>
      </c>
      <c r="C283" s="2" t="s">
        <v>38</v>
      </c>
      <c r="D283" s="2" t="s">
        <v>23</v>
      </c>
      <c r="E283">
        <v>3</v>
      </c>
      <c r="F283">
        <v>1461</v>
      </c>
      <c r="G283">
        <v>4383</v>
      </c>
      <c r="H283" s="1">
        <v>45448</v>
      </c>
      <c r="I283" s="2" t="s">
        <v>33</v>
      </c>
      <c r="J283" s="2" t="s">
        <v>65</v>
      </c>
    </row>
    <row r="284" spans="2:10" x14ac:dyDescent="0.35">
      <c r="B284" s="2" t="s">
        <v>330</v>
      </c>
      <c r="C284" s="2" t="s">
        <v>61</v>
      </c>
      <c r="D284" s="2" t="s">
        <v>30</v>
      </c>
      <c r="E284">
        <v>13</v>
      </c>
      <c r="F284">
        <v>87233</v>
      </c>
      <c r="G284">
        <v>1134029</v>
      </c>
      <c r="H284" s="1">
        <v>45584</v>
      </c>
      <c r="I284" s="2" t="s">
        <v>17</v>
      </c>
      <c r="J284" s="2" t="s">
        <v>80</v>
      </c>
    </row>
    <row r="285" spans="2:10" x14ac:dyDescent="0.35">
      <c r="B285" s="2" t="s">
        <v>331</v>
      </c>
      <c r="C285" s="2" t="s">
        <v>19</v>
      </c>
      <c r="D285" s="2" t="s">
        <v>20</v>
      </c>
      <c r="E285">
        <v>1</v>
      </c>
      <c r="F285">
        <v>945225</v>
      </c>
      <c r="G285">
        <v>945225</v>
      </c>
      <c r="H285" s="1">
        <v>45460</v>
      </c>
      <c r="I285" s="2" t="s">
        <v>43</v>
      </c>
      <c r="J285" s="2" t="s">
        <v>50</v>
      </c>
    </row>
    <row r="286" spans="2:10" x14ac:dyDescent="0.35">
      <c r="B286" s="2" t="s">
        <v>332</v>
      </c>
      <c r="C286" s="2" t="s">
        <v>53</v>
      </c>
      <c r="D286" s="2" t="s">
        <v>30</v>
      </c>
      <c r="E286">
        <v>14</v>
      </c>
      <c r="F286">
        <v>22649</v>
      </c>
      <c r="G286">
        <v>317086</v>
      </c>
      <c r="H286" s="1">
        <v>45554</v>
      </c>
      <c r="I286" s="2" t="s">
        <v>17</v>
      </c>
      <c r="J286" s="2" t="s">
        <v>45</v>
      </c>
    </row>
    <row r="287" spans="2:10" x14ac:dyDescent="0.35">
      <c r="B287" s="2" t="s">
        <v>333</v>
      </c>
      <c r="C287" s="2" t="s">
        <v>10</v>
      </c>
      <c r="D287" s="2" t="s">
        <v>11</v>
      </c>
      <c r="E287">
        <v>12</v>
      </c>
      <c r="F287">
        <v>1009</v>
      </c>
      <c r="G287">
        <v>12108</v>
      </c>
      <c r="H287" s="1">
        <v>45566</v>
      </c>
      <c r="I287" s="2" t="s">
        <v>12</v>
      </c>
      <c r="J287" s="2" t="s">
        <v>36</v>
      </c>
    </row>
    <row r="288" spans="2:10" x14ac:dyDescent="0.35">
      <c r="B288" s="2" t="s">
        <v>334</v>
      </c>
      <c r="C288" s="2" t="s">
        <v>22</v>
      </c>
      <c r="D288" s="2" t="s">
        <v>23</v>
      </c>
      <c r="E288">
        <v>14</v>
      </c>
      <c r="F288">
        <v>201</v>
      </c>
      <c r="G288">
        <v>2814</v>
      </c>
      <c r="H288" s="1">
        <v>45344</v>
      </c>
      <c r="I288" s="2" t="s">
        <v>12</v>
      </c>
      <c r="J288" s="2" t="s">
        <v>45</v>
      </c>
    </row>
    <row r="289" spans="2:10" x14ac:dyDescent="0.35">
      <c r="B289" s="2" t="s">
        <v>335</v>
      </c>
      <c r="C289" s="2" t="s">
        <v>53</v>
      </c>
      <c r="D289" s="2" t="s">
        <v>30</v>
      </c>
      <c r="E289">
        <v>9</v>
      </c>
      <c r="F289">
        <v>3152</v>
      </c>
      <c r="G289">
        <v>28368</v>
      </c>
      <c r="H289" s="1">
        <v>45364</v>
      </c>
      <c r="I289" s="2" t="s">
        <v>33</v>
      </c>
      <c r="J289" s="2" t="s">
        <v>134</v>
      </c>
    </row>
    <row r="290" spans="2:10" x14ac:dyDescent="0.35">
      <c r="B290" s="2" t="s">
        <v>336</v>
      </c>
      <c r="C290" s="2" t="s">
        <v>19</v>
      </c>
      <c r="D290" s="2" t="s">
        <v>20</v>
      </c>
      <c r="E290">
        <v>1</v>
      </c>
      <c r="F290">
        <v>667813</v>
      </c>
      <c r="G290">
        <v>667813</v>
      </c>
      <c r="H290" s="1">
        <v>45305</v>
      </c>
      <c r="I290" s="2" t="s">
        <v>43</v>
      </c>
      <c r="J290" s="2" t="s">
        <v>36</v>
      </c>
    </row>
    <row r="291" spans="2:10" x14ac:dyDescent="0.35">
      <c r="B291" s="2" t="s">
        <v>337</v>
      </c>
      <c r="C291" s="2" t="s">
        <v>10</v>
      </c>
      <c r="D291" s="2" t="s">
        <v>11</v>
      </c>
      <c r="E291">
        <v>11</v>
      </c>
      <c r="F291">
        <v>17757</v>
      </c>
      <c r="G291">
        <v>195327</v>
      </c>
      <c r="H291" s="1">
        <v>45400</v>
      </c>
      <c r="I291" s="2" t="s">
        <v>33</v>
      </c>
      <c r="J291" s="2" t="s">
        <v>27</v>
      </c>
    </row>
    <row r="292" spans="2:10" x14ac:dyDescent="0.35">
      <c r="B292" s="2" t="s">
        <v>338</v>
      </c>
      <c r="C292" s="2" t="s">
        <v>15</v>
      </c>
      <c r="D292" s="2" t="s">
        <v>16</v>
      </c>
      <c r="E292">
        <v>3</v>
      </c>
      <c r="F292">
        <v>1369</v>
      </c>
      <c r="G292">
        <v>4107</v>
      </c>
      <c r="H292" s="1">
        <v>45588</v>
      </c>
      <c r="I292" s="2" t="s">
        <v>33</v>
      </c>
      <c r="J292" s="2" t="s">
        <v>36</v>
      </c>
    </row>
    <row r="293" spans="2:10" x14ac:dyDescent="0.35">
      <c r="B293" s="2" t="s">
        <v>339</v>
      </c>
      <c r="C293" s="2" t="s">
        <v>10</v>
      </c>
      <c r="D293" s="2" t="s">
        <v>11</v>
      </c>
      <c r="E293">
        <v>17</v>
      </c>
      <c r="F293">
        <v>13411</v>
      </c>
      <c r="G293">
        <v>227987</v>
      </c>
      <c r="H293" s="1">
        <v>45613</v>
      </c>
      <c r="I293" s="2" t="s">
        <v>17</v>
      </c>
      <c r="J293" s="2" t="s">
        <v>31</v>
      </c>
    </row>
    <row r="294" spans="2:10" x14ac:dyDescent="0.35">
      <c r="B294" s="2" t="s">
        <v>340</v>
      </c>
      <c r="C294" s="2" t="s">
        <v>61</v>
      </c>
      <c r="D294" s="2" t="s">
        <v>30</v>
      </c>
      <c r="E294">
        <v>12</v>
      </c>
      <c r="F294">
        <v>86192</v>
      </c>
      <c r="G294">
        <v>1034304</v>
      </c>
      <c r="H294" s="1">
        <v>45362</v>
      </c>
      <c r="I294" s="2" t="s">
        <v>17</v>
      </c>
      <c r="J294" s="2" t="s">
        <v>134</v>
      </c>
    </row>
    <row r="295" spans="2:10" x14ac:dyDescent="0.35">
      <c r="B295" s="2" t="s">
        <v>341</v>
      </c>
      <c r="C295" s="2" t="s">
        <v>53</v>
      </c>
      <c r="D295" s="2" t="s">
        <v>30</v>
      </c>
      <c r="E295">
        <v>11</v>
      </c>
      <c r="F295">
        <v>20129</v>
      </c>
      <c r="G295">
        <v>221419</v>
      </c>
      <c r="H295" s="1">
        <v>45606</v>
      </c>
      <c r="I295" s="2" t="s">
        <v>43</v>
      </c>
      <c r="J295" s="2" t="s">
        <v>134</v>
      </c>
    </row>
    <row r="296" spans="2:10" x14ac:dyDescent="0.35">
      <c r="B296" s="2" t="s">
        <v>342</v>
      </c>
      <c r="C296" s="2" t="s">
        <v>55</v>
      </c>
      <c r="D296" s="2" t="s">
        <v>56</v>
      </c>
      <c r="E296">
        <v>15</v>
      </c>
      <c r="F296">
        <v>3231</v>
      </c>
      <c r="G296">
        <v>48465</v>
      </c>
      <c r="H296" s="1">
        <v>45448</v>
      </c>
      <c r="I296" s="2" t="s">
        <v>33</v>
      </c>
      <c r="J296" s="2" t="s">
        <v>25</v>
      </c>
    </row>
    <row r="297" spans="2:10" x14ac:dyDescent="0.35">
      <c r="B297" s="2" t="s">
        <v>343</v>
      </c>
      <c r="C297" s="2" t="s">
        <v>38</v>
      </c>
      <c r="D297" s="2" t="s">
        <v>23</v>
      </c>
      <c r="E297">
        <v>14</v>
      </c>
      <c r="F297">
        <v>1257</v>
      </c>
      <c r="G297">
        <v>17598</v>
      </c>
      <c r="H297" s="1">
        <v>45517</v>
      </c>
      <c r="I297" s="2" t="s">
        <v>24</v>
      </c>
      <c r="J297" s="2" t="s">
        <v>45</v>
      </c>
    </row>
    <row r="298" spans="2:10" x14ac:dyDescent="0.35">
      <c r="B298" s="2" t="s">
        <v>344</v>
      </c>
      <c r="C298" s="2" t="s">
        <v>29</v>
      </c>
      <c r="D298" s="2" t="s">
        <v>30</v>
      </c>
      <c r="E298">
        <v>12</v>
      </c>
      <c r="F298">
        <v>19213</v>
      </c>
      <c r="G298">
        <v>230556</v>
      </c>
      <c r="H298" s="1">
        <v>45306</v>
      </c>
      <c r="I298" s="2" t="s">
        <v>33</v>
      </c>
      <c r="J298" s="2" t="s">
        <v>95</v>
      </c>
    </row>
    <row r="299" spans="2:10" x14ac:dyDescent="0.35">
      <c r="B299" s="2" t="s">
        <v>345</v>
      </c>
      <c r="C299" s="2" t="s">
        <v>55</v>
      </c>
      <c r="D299" s="2" t="s">
        <v>56</v>
      </c>
      <c r="E299">
        <v>15</v>
      </c>
      <c r="F299">
        <v>227</v>
      </c>
      <c r="G299">
        <v>3405</v>
      </c>
      <c r="H299" s="1">
        <v>45656</v>
      </c>
      <c r="I299" s="2" t="s">
        <v>12</v>
      </c>
      <c r="J299" s="2" t="s">
        <v>80</v>
      </c>
    </row>
    <row r="300" spans="2:10" x14ac:dyDescent="0.35">
      <c r="B300" s="2" t="s">
        <v>346</v>
      </c>
      <c r="C300" s="2" t="s">
        <v>41</v>
      </c>
      <c r="D300" s="2" t="s">
        <v>11</v>
      </c>
      <c r="E300">
        <v>5</v>
      </c>
      <c r="F300">
        <v>10914</v>
      </c>
      <c r="G300">
        <v>5457</v>
      </c>
      <c r="H300" s="1">
        <v>45563</v>
      </c>
      <c r="I300" s="2" t="s">
        <v>43</v>
      </c>
      <c r="J300" s="2" t="s">
        <v>80</v>
      </c>
    </row>
    <row r="301" spans="2:10" x14ac:dyDescent="0.35">
      <c r="B301" s="2" t="s">
        <v>347</v>
      </c>
      <c r="C301" s="2" t="s">
        <v>19</v>
      </c>
      <c r="D301" s="2" t="s">
        <v>20</v>
      </c>
      <c r="E301">
        <v>1</v>
      </c>
      <c r="F301">
        <v>950377</v>
      </c>
      <c r="G301">
        <v>950377</v>
      </c>
      <c r="H301" s="1">
        <v>45611</v>
      </c>
      <c r="I301" s="2" t="s">
        <v>43</v>
      </c>
      <c r="J301" s="2" t="s">
        <v>59</v>
      </c>
    </row>
    <row r="302" spans="2:10" x14ac:dyDescent="0.35">
      <c r="B302" s="2" t="s">
        <v>348</v>
      </c>
      <c r="C302" s="2" t="s">
        <v>19</v>
      </c>
      <c r="D302" s="2" t="s">
        <v>20</v>
      </c>
      <c r="E302">
        <v>1</v>
      </c>
      <c r="F302">
        <v>548981</v>
      </c>
      <c r="G302">
        <v>548981</v>
      </c>
      <c r="H302" s="1">
        <v>45598</v>
      </c>
      <c r="I302" s="2" t="s">
        <v>12</v>
      </c>
      <c r="J302" s="2" t="s">
        <v>34</v>
      </c>
    </row>
    <row r="303" spans="2:10" x14ac:dyDescent="0.35">
      <c r="B303" s="2" t="s">
        <v>349</v>
      </c>
      <c r="C303" s="2" t="s">
        <v>22</v>
      </c>
      <c r="D303" s="2" t="s">
        <v>23</v>
      </c>
      <c r="E303">
        <v>11</v>
      </c>
      <c r="F303">
        <v>123</v>
      </c>
      <c r="G303">
        <v>1353</v>
      </c>
      <c r="H303" s="1">
        <v>45498</v>
      </c>
      <c r="I303" s="2" t="s">
        <v>43</v>
      </c>
      <c r="J303" s="2" t="s">
        <v>59</v>
      </c>
    </row>
    <row r="304" spans="2:10" x14ac:dyDescent="0.35">
      <c r="B304" s="2" t="s">
        <v>350</v>
      </c>
      <c r="C304" s="2" t="s">
        <v>61</v>
      </c>
      <c r="D304" s="2" t="s">
        <v>30</v>
      </c>
      <c r="E304">
        <v>1</v>
      </c>
      <c r="F304">
        <v>87195</v>
      </c>
      <c r="G304">
        <v>87195</v>
      </c>
      <c r="H304" s="1">
        <v>45621</v>
      </c>
      <c r="I304" s="2" t="s">
        <v>33</v>
      </c>
      <c r="J304" s="2" t="s">
        <v>65</v>
      </c>
    </row>
    <row r="305" spans="2:10" x14ac:dyDescent="0.35">
      <c r="B305" s="2" t="s">
        <v>351</v>
      </c>
      <c r="C305" s="2" t="s">
        <v>29</v>
      </c>
      <c r="D305" s="2" t="s">
        <v>30</v>
      </c>
      <c r="E305">
        <v>3</v>
      </c>
      <c r="F305">
        <v>17961</v>
      </c>
      <c r="G305">
        <v>53883</v>
      </c>
      <c r="H305" s="1">
        <v>45621</v>
      </c>
      <c r="I305" s="2" t="s">
        <v>17</v>
      </c>
      <c r="J305" s="2" t="s">
        <v>50</v>
      </c>
    </row>
    <row r="306" spans="2:10" x14ac:dyDescent="0.35">
      <c r="B306" s="2" t="s">
        <v>352</v>
      </c>
      <c r="C306" s="2" t="s">
        <v>29</v>
      </c>
      <c r="D306" s="2" t="s">
        <v>30</v>
      </c>
      <c r="E306">
        <v>13</v>
      </c>
      <c r="F306">
        <v>2345</v>
      </c>
      <c r="G306">
        <v>30485</v>
      </c>
      <c r="H306" s="1">
        <v>45416</v>
      </c>
      <c r="I306" s="2" t="s">
        <v>17</v>
      </c>
      <c r="J306" s="2" t="s">
        <v>27</v>
      </c>
    </row>
    <row r="307" spans="2:10" x14ac:dyDescent="0.35">
      <c r="B307" s="2" t="s">
        <v>353</v>
      </c>
      <c r="C307" s="2" t="s">
        <v>55</v>
      </c>
      <c r="D307" s="2" t="s">
        <v>56</v>
      </c>
      <c r="E307">
        <v>18</v>
      </c>
      <c r="F307">
        <v>4231</v>
      </c>
      <c r="G307">
        <v>76158</v>
      </c>
      <c r="H307" s="1">
        <v>45518</v>
      </c>
      <c r="I307" s="2" t="s">
        <v>12</v>
      </c>
      <c r="J307" s="2" t="s">
        <v>36</v>
      </c>
    </row>
    <row r="308" spans="2:10" x14ac:dyDescent="0.35">
      <c r="B308" s="2" t="s">
        <v>354</v>
      </c>
      <c r="C308" s="2" t="s">
        <v>53</v>
      </c>
      <c r="D308" s="2" t="s">
        <v>30</v>
      </c>
      <c r="E308">
        <v>11</v>
      </c>
      <c r="F308">
        <v>27812</v>
      </c>
      <c r="G308">
        <v>305932</v>
      </c>
      <c r="H308" s="1">
        <v>45656</v>
      </c>
      <c r="I308" s="2" t="s">
        <v>17</v>
      </c>
      <c r="J308" s="2" t="s">
        <v>86</v>
      </c>
    </row>
    <row r="309" spans="2:10" x14ac:dyDescent="0.35">
      <c r="B309" s="2" t="s">
        <v>355</v>
      </c>
      <c r="C309" s="2" t="s">
        <v>15</v>
      </c>
      <c r="D309" s="2" t="s">
        <v>16</v>
      </c>
      <c r="E309">
        <v>11</v>
      </c>
      <c r="F309">
        <v>546</v>
      </c>
      <c r="G309">
        <v>6006</v>
      </c>
      <c r="H309" s="1">
        <v>45427</v>
      </c>
      <c r="I309" s="2" t="s">
        <v>12</v>
      </c>
      <c r="J309" s="2" t="s">
        <v>39</v>
      </c>
    </row>
    <row r="310" spans="2:10" x14ac:dyDescent="0.35">
      <c r="B310" s="2" t="s">
        <v>356</v>
      </c>
      <c r="C310" s="2" t="s">
        <v>53</v>
      </c>
      <c r="D310" s="2" t="s">
        <v>30</v>
      </c>
      <c r="E310">
        <v>11</v>
      </c>
      <c r="F310">
        <v>33361</v>
      </c>
      <c r="G310">
        <v>366971</v>
      </c>
      <c r="H310" s="1">
        <v>45293</v>
      </c>
      <c r="I310" s="2" t="s">
        <v>24</v>
      </c>
      <c r="J310" s="2" t="s">
        <v>97</v>
      </c>
    </row>
    <row r="311" spans="2:10" x14ac:dyDescent="0.35">
      <c r="B311" s="2" t="s">
        <v>357</v>
      </c>
      <c r="C311" s="2" t="s">
        <v>19</v>
      </c>
      <c r="D311" s="2" t="s">
        <v>20</v>
      </c>
      <c r="E311">
        <v>1</v>
      </c>
      <c r="F311">
        <v>545458</v>
      </c>
      <c r="G311">
        <v>545458</v>
      </c>
      <c r="H311" s="1">
        <v>45523</v>
      </c>
      <c r="I311" s="2" t="s">
        <v>12</v>
      </c>
      <c r="J311" s="2" t="s">
        <v>13</v>
      </c>
    </row>
    <row r="312" spans="2:10" x14ac:dyDescent="0.35">
      <c r="B312" s="2" t="s">
        <v>358</v>
      </c>
      <c r="C312" s="2" t="s">
        <v>38</v>
      </c>
      <c r="D312" s="2" t="s">
        <v>23</v>
      </c>
      <c r="E312">
        <v>6</v>
      </c>
      <c r="F312">
        <v>1983</v>
      </c>
      <c r="G312">
        <v>11898</v>
      </c>
      <c r="H312" s="1">
        <v>45390</v>
      </c>
      <c r="I312" s="2" t="s">
        <v>24</v>
      </c>
      <c r="J312" s="2" t="s">
        <v>31</v>
      </c>
    </row>
    <row r="313" spans="2:10" x14ac:dyDescent="0.35">
      <c r="B313" s="2" t="s">
        <v>359</v>
      </c>
      <c r="C313" s="2" t="s">
        <v>53</v>
      </c>
      <c r="D313" s="2" t="s">
        <v>30</v>
      </c>
      <c r="E313">
        <v>18</v>
      </c>
      <c r="F313">
        <v>24614</v>
      </c>
      <c r="G313">
        <v>443052</v>
      </c>
      <c r="H313" s="1">
        <v>45305</v>
      </c>
      <c r="I313" s="2" t="s">
        <v>17</v>
      </c>
      <c r="J313" s="2" t="s">
        <v>27</v>
      </c>
    </row>
    <row r="314" spans="2:10" x14ac:dyDescent="0.35">
      <c r="B314" s="2" t="s">
        <v>360</v>
      </c>
      <c r="C314" s="2" t="s">
        <v>55</v>
      </c>
      <c r="D314" s="2" t="s">
        <v>56</v>
      </c>
      <c r="E314">
        <v>4</v>
      </c>
      <c r="F314">
        <v>3413</v>
      </c>
      <c r="G314">
        <v>13652</v>
      </c>
      <c r="H314" s="1">
        <v>45306</v>
      </c>
      <c r="I314" s="2" t="s">
        <v>17</v>
      </c>
      <c r="J314" s="2" t="s">
        <v>13</v>
      </c>
    </row>
    <row r="315" spans="2:10" x14ac:dyDescent="0.35">
      <c r="B315" s="2" t="s">
        <v>361</v>
      </c>
      <c r="C315" s="2" t="s">
        <v>55</v>
      </c>
      <c r="D315" s="2" t="s">
        <v>56</v>
      </c>
      <c r="E315">
        <v>15</v>
      </c>
      <c r="F315">
        <v>2114</v>
      </c>
      <c r="G315">
        <v>3171</v>
      </c>
      <c r="H315" s="1">
        <v>45594</v>
      </c>
      <c r="I315" s="2" t="s">
        <v>43</v>
      </c>
      <c r="J315" s="2" t="s">
        <v>48</v>
      </c>
    </row>
    <row r="316" spans="2:10" x14ac:dyDescent="0.35">
      <c r="B316" s="2" t="s">
        <v>362</v>
      </c>
      <c r="C316" s="2" t="s">
        <v>29</v>
      </c>
      <c r="D316" s="2" t="s">
        <v>30</v>
      </c>
      <c r="E316">
        <v>19</v>
      </c>
      <c r="F316">
        <v>20337</v>
      </c>
      <c r="G316">
        <v>386403</v>
      </c>
      <c r="H316" s="1">
        <v>45370</v>
      </c>
      <c r="I316" s="2" t="s">
        <v>17</v>
      </c>
      <c r="J316" s="2" t="s">
        <v>95</v>
      </c>
    </row>
    <row r="317" spans="2:10" x14ac:dyDescent="0.35">
      <c r="B317" s="2" t="s">
        <v>363</v>
      </c>
      <c r="C317" s="2" t="s">
        <v>41</v>
      </c>
      <c r="D317" s="2" t="s">
        <v>11</v>
      </c>
      <c r="E317">
        <v>14</v>
      </c>
      <c r="F317">
        <v>19935</v>
      </c>
      <c r="G317">
        <v>27909</v>
      </c>
      <c r="H317" s="1">
        <v>45384</v>
      </c>
      <c r="I317" s="2" t="s">
        <v>43</v>
      </c>
      <c r="J317" s="2" t="s">
        <v>27</v>
      </c>
    </row>
    <row r="318" spans="2:10" x14ac:dyDescent="0.35">
      <c r="B318" s="2" t="s">
        <v>364</v>
      </c>
      <c r="C318" s="2" t="s">
        <v>19</v>
      </c>
      <c r="D318" s="2" t="s">
        <v>20</v>
      </c>
      <c r="E318">
        <v>1</v>
      </c>
      <c r="F318">
        <v>72291</v>
      </c>
      <c r="G318">
        <v>72291</v>
      </c>
      <c r="H318" s="1">
        <v>45424</v>
      </c>
      <c r="I318" s="2" t="s">
        <v>33</v>
      </c>
      <c r="J318" s="2" t="s">
        <v>70</v>
      </c>
    </row>
    <row r="319" spans="2:10" x14ac:dyDescent="0.35">
      <c r="B319" s="2" t="s">
        <v>365</v>
      </c>
      <c r="C319" s="2" t="s">
        <v>15</v>
      </c>
      <c r="D319" s="2" t="s">
        <v>16</v>
      </c>
      <c r="E319">
        <v>5</v>
      </c>
      <c r="F319">
        <v>962</v>
      </c>
      <c r="G319">
        <v>481</v>
      </c>
      <c r="H319" s="1">
        <v>45325</v>
      </c>
      <c r="I319" s="2" t="s">
        <v>43</v>
      </c>
      <c r="J319" s="2" t="s">
        <v>45</v>
      </c>
    </row>
    <row r="320" spans="2:10" x14ac:dyDescent="0.35">
      <c r="B320" s="2" t="s">
        <v>366</v>
      </c>
      <c r="C320" s="2" t="s">
        <v>61</v>
      </c>
      <c r="D320" s="2" t="s">
        <v>30</v>
      </c>
      <c r="E320">
        <v>1</v>
      </c>
      <c r="F320">
        <v>89636</v>
      </c>
      <c r="G320">
        <v>89636</v>
      </c>
      <c r="H320" s="1">
        <v>45352</v>
      </c>
      <c r="I320" s="2" t="s">
        <v>43</v>
      </c>
      <c r="J320" s="2" t="s">
        <v>31</v>
      </c>
    </row>
    <row r="321" spans="2:10" x14ac:dyDescent="0.35">
      <c r="B321" s="2" t="s">
        <v>367</v>
      </c>
      <c r="C321" s="2" t="s">
        <v>22</v>
      </c>
      <c r="D321" s="2" t="s">
        <v>23</v>
      </c>
      <c r="E321">
        <v>18</v>
      </c>
      <c r="F321">
        <v>177</v>
      </c>
      <c r="G321">
        <v>3186</v>
      </c>
      <c r="H321" s="1">
        <v>45396</v>
      </c>
      <c r="I321" s="2" t="s">
        <v>33</v>
      </c>
      <c r="J321" s="2" t="s">
        <v>25</v>
      </c>
    </row>
    <row r="322" spans="2:10" x14ac:dyDescent="0.35">
      <c r="B322" s="2" t="s">
        <v>368</v>
      </c>
      <c r="C322" s="2" t="s">
        <v>10</v>
      </c>
      <c r="D322" s="2" t="s">
        <v>11</v>
      </c>
      <c r="E322">
        <v>19</v>
      </c>
      <c r="F322">
        <v>15361</v>
      </c>
      <c r="G322">
        <v>291859</v>
      </c>
      <c r="H322" s="1">
        <v>45451</v>
      </c>
      <c r="I322" s="2" t="s">
        <v>24</v>
      </c>
      <c r="J322" s="2" t="s">
        <v>59</v>
      </c>
    </row>
    <row r="323" spans="2:10" x14ac:dyDescent="0.35">
      <c r="B323" s="2" t="s">
        <v>369</v>
      </c>
      <c r="C323" s="2" t="s">
        <v>41</v>
      </c>
      <c r="D323" s="2" t="s">
        <v>11</v>
      </c>
      <c r="E323">
        <v>10</v>
      </c>
      <c r="F323">
        <v>10863</v>
      </c>
      <c r="G323">
        <v>10863</v>
      </c>
      <c r="H323" s="1">
        <v>45373</v>
      </c>
      <c r="I323" s="2" t="s">
        <v>33</v>
      </c>
      <c r="J323" s="2" t="s">
        <v>45</v>
      </c>
    </row>
    <row r="324" spans="2:10" x14ac:dyDescent="0.35">
      <c r="B324" s="2" t="s">
        <v>370</v>
      </c>
      <c r="C324" s="2" t="s">
        <v>38</v>
      </c>
      <c r="D324" s="2" t="s">
        <v>23</v>
      </c>
      <c r="E324">
        <v>2</v>
      </c>
      <c r="F324">
        <v>1946</v>
      </c>
      <c r="G324">
        <v>3892</v>
      </c>
      <c r="H324" s="1">
        <v>45520</v>
      </c>
      <c r="I324" s="2" t="s">
        <v>17</v>
      </c>
      <c r="J324" s="2" t="s">
        <v>84</v>
      </c>
    </row>
    <row r="325" spans="2:10" x14ac:dyDescent="0.35">
      <c r="B325" s="2" t="s">
        <v>371</v>
      </c>
      <c r="C325" s="2" t="s">
        <v>61</v>
      </c>
      <c r="D325" s="2" t="s">
        <v>30</v>
      </c>
      <c r="E325">
        <v>18</v>
      </c>
      <c r="F325">
        <v>87619</v>
      </c>
      <c r="G325">
        <v>1577142</v>
      </c>
      <c r="H325" s="1">
        <v>45483</v>
      </c>
      <c r="I325" s="2" t="s">
        <v>12</v>
      </c>
      <c r="J325" s="2" t="s">
        <v>84</v>
      </c>
    </row>
    <row r="326" spans="2:10" x14ac:dyDescent="0.35">
      <c r="B326" s="2" t="s">
        <v>372</v>
      </c>
      <c r="C326" s="2" t="s">
        <v>29</v>
      </c>
      <c r="D326" s="2" t="s">
        <v>30</v>
      </c>
      <c r="E326">
        <v>11</v>
      </c>
      <c r="F326">
        <v>16218</v>
      </c>
      <c r="G326">
        <v>178398</v>
      </c>
      <c r="H326" s="1">
        <v>45575</v>
      </c>
      <c r="I326" s="2" t="s">
        <v>33</v>
      </c>
      <c r="J326" s="2" t="s">
        <v>97</v>
      </c>
    </row>
    <row r="327" spans="2:10" x14ac:dyDescent="0.35">
      <c r="B327" s="2" t="s">
        <v>373</v>
      </c>
      <c r="C327" s="2" t="s">
        <v>22</v>
      </c>
      <c r="D327" s="2" t="s">
        <v>23</v>
      </c>
      <c r="E327">
        <v>1</v>
      </c>
      <c r="F327">
        <v>156</v>
      </c>
      <c r="G327">
        <v>156</v>
      </c>
      <c r="H327" s="1">
        <v>45533</v>
      </c>
      <c r="I327" s="2" t="s">
        <v>12</v>
      </c>
      <c r="J327" s="2" t="s">
        <v>59</v>
      </c>
    </row>
    <row r="328" spans="2:10" x14ac:dyDescent="0.35">
      <c r="B328" s="2" t="s">
        <v>374</v>
      </c>
      <c r="C328" s="2" t="s">
        <v>22</v>
      </c>
      <c r="D328" s="2" t="s">
        <v>23</v>
      </c>
      <c r="E328">
        <v>3</v>
      </c>
      <c r="F328">
        <v>106</v>
      </c>
      <c r="G328">
        <v>318</v>
      </c>
      <c r="H328" s="1">
        <v>45487</v>
      </c>
      <c r="I328" s="2" t="s">
        <v>33</v>
      </c>
      <c r="J328" s="2" t="s">
        <v>50</v>
      </c>
    </row>
    <row r="329" spans="2:10" x14ac:dyDescent="0.35">
      <c r="B329" s="2" t="s">
        <v>375</v>
      </c>
      <c r="C329" s="2" t="s">
        <v>19</v>
      </c>
      <c r="D329" s="2" t="s">
        <v>20</v>
      </c>
      <c r="E329">
        <v>1</v>
      </c>
      <c r="F329">
        <v>893702</v>
      </c>
      <c r="G329">
        <v>893702</v>
      </c>
      <c r="H329" s="1">
        <v>45335</v>
      </c>
      <c r="I329" s="2" t="s">
        <v>43</v>
      </c>
      <c r="J329" s="2" t="s">
        <v>84</v>
      </c>
    </row>
    <row r="330" spans="2:10" x14ac:dyDescent="0.35">
      <c r="B330" s="2" t="s">
        <v>376</v>
      </c>
      <c r="C330" s="2" t="s">
        <v>22</v>
      </c>
      <c r="D330" s="2" t="s">
        <v>23</v>
      </c>
      <c r="E330">
        <v>17</v>
      </c>
      <c r="F330">
        <v>197</v>
      </c>
      <c r="G330">
        <v>3349</v>
      </c>
      <c r="H330" s="1">
        <v>45370</v>
      </c>
      <c r="I330" s="2" t="s">
        <v>43</v>
      </c>
      <c r="J330" s="2" t="s">
        <v>59</v>
      </c>
    </row>
    <row r="331" spans="2:10" x14ac:dyDescent="0.35">
      <c r="B331" s="2" t="s">
        <v>377</v>
      </c>
      <c r="C331" s="2" t="s">
        <v>10</v>
      </c>
      <c r="D331" s="2" t="s">
        <v>11</v>
      </c>
      <c r="E331">
        <v>17</v>
      </c>
      <c r="F331">
        <v>14952</v>
      </c>
      <c r="G331">
        <v>254184</v>
      </c>
      <c r="H331" s="1">
        <v>45651</v>
      </c>
      <c r="I331" s="2" t="s">
        <v>12</v>
      </c>
      <c r="J331" s="2" t="s">
        <v>45</v>
      </c>
    </row>
    <row r="332" spans="2:10" x14ac:dyDescent="0.35">
      <c r="B332" s="2" t="s">
        <v>378</v>
      </c>
      <c r="C332" s="2" t="s">
        <v>29</v>
      </c>
      <c r="D332" s="2" t="s">
        <v>30</v>
      </c>
      <c r="E332">
        <v>11</v>
      </c>
      <c r="F332">
        <v>15083</v>
      </c>
      <c r="G332">
        <v>165913</v>
      </c>
      <c r="H332" s="1">
        <v>45475</v>
      </c>
      <c r="I332" s="2" t="s">
        <v>24</v>
      </c>
      <c r="J332" s="2" t="s">
        <v>134</v>
      </c>
    </row>
    <row r="333" spans="2:10" x14ac:dyDescent="0.35">
      <c r="B333" s="2" t="s">
        <v>379</v>
      </c>
      <c r="C333" s="2" t="s">
        <v>55</v>
      </c>
      <c r="D333" s="2" t="s">
        <v>56</v>
      </c>
      <c r="E333">
        <v>19</v>
      </c>
      <c r="F333">
        <v>2541</v>
      </c>
      <c r="G333">
        <v>48279</v>
      </c>
      <c r="H333" s="1">
        <v>45362</v>
      </c>
      <c r="I333" s="2" t="s">
        <v>24</v>
      </c>
      <c r="J333" s="2" t="s">
        <v>45</v>
      </c>
    </row>
    <row r="334" spans="2:10" x14ac:dyDescent="0.35">
      <c r="B334" s="2" t="s">
        <v>380</v>
      </c>
      <c r="C334" s="2" t="s">
        <v>19</v>
      </c>
      <c r="D334" s="2" t="s">
        <v>20</v>
      </c>
      <c r="E334">
        <v>1</v>
      </c>
      <c r="F334">
        <v>700006</v>
      </c>
      <c r="G334">
        <v>700006</v>
      </c>
      <c r="H334" s="1">
        <v>45296</v>
      </c>
      <c r="I334" s="2" t="s">
        <v>17</v>
      </c>
      <c r="J334" s="2" t="s">
        <v>27</v>
      </c>
    </row>
    <row r="335" spans="2:10" x14ac:dyDescent="0.35">
      <c r="B335" s="2" t="s">
        <v>381</v>
      </c>
      <c r="C335" s="2" t="s">
        <v>38</v>
      </c>
      <c r="D335" s="2" t="s">
        <v>23</v>
      </c>
      <c r="E335">
        <v>9</v>
      </c>
      <c r="F335">
        <v>1927</v>
      </c>
      <c r="G335">
        <v>17343</v>
      </c>
      <c r="H335" s="1">
        <v>45530</v>
      </c>
      <c r="I335" s="2" t="s">
        <v>33</v>
      </c>
      <c r="J335" s="2" t="s">
        <v>39</v>
      </c>
    </row>
    <row r="336" spans="2:10" x14ac:dyDescent="0.35">
      <c r="B336" s="2" t="s">
        <v>382</v>
      </c>
      <c r="C336" s="2" t="s">
        <v>55</v>
      </c>
      <c r="D336" s="2" t="s">
        <v>56</v>
      </c>
      <c r="E336">
        <v>2</v>
      </c>
      <c r="F336">
        <v>4162</v>
      </c>
      <c r="G336">
        <v>8324</v>
      </c>
      <c r="H336" s="1">
        <v>45627</v>
      </c>
      <c r="I336" s="2" t="s">
        <v>43</v>
      </c>
      <c r="J336" s="2" t="s">
        <v>57</v>
      </c>
    </row>
    <row r="337" spans="2:10" x14ac:dyDescent="0.35">
      <c r="B337" s="2" t="s">
        <v>383</v>
      </c>
      <c r="C337" s="2" t="s">
        <v>61</v>
      </c>
      <c r="D337" s="2" t="s">
        <v>30</v>
      </c>
      <c r="E337">
        <v>3</v>
      </c>
      <c r="F337">
        <v>9661</v>
      </c>
      <c r="G337">
        <v>28983</v>
      </c>
      <c r="H337" s="1">
        <v>45550</v>
      </c>
      <c r="I337" s="2" t="s">
        <v>17</v>
      </c>
      <c r="J337" s="2" t="s">
        <v>84</v>
      </c>
    </row>
    <row r="338" spans="2:10" x14ac:dyDescent="0.35">
      <c r="B338" s="2" t="s">
        <v>384</v>
      </c>
      <c r="C338" s="2" t="s">
        <v>10</v>
      </c>
      <c r="D338" s="2" t="s">
        <v>11</v>
      </c>
      <c r="E338">
        <v>16</v>
      </c>
      <c r="F338">
        <v>12725</v>
      </c>
      <c r="G338">
        <v>20360</v>
      </c>
      <c r="H338" s="1">
        <v>45550</v>
      </c>
      <c r="I338" s="2" t="s">
        <v>17</v>
      </c>
      <c r="J338" s="2" t="s">
        <v>80</v>
      </c>
    </row>
    <row r="339" spans="2:10" x14ac:dyDescent="0.35">
      <c r="B339" s="2" t="s">
        <v>385</v>
      </c>
      <c r="C339" s="2" t="s">
        <v>61</v>
      </c>
      <c r="D339" s="2" t="s">
        <v>30</v>
      </c>
      <c r="E339">
        <v>16</v>
      </c>
      <c r="F339">
        <v>96028</v>
      </c>
      <c r="G339">
        <v>1536448</v>
      </c>
      <c r="H339" s="1">
        <v>45543</v>
      </c>
      <c r="I339" s="2" t="s">
        <v>33</v>
      </c>
      <c r="J339" s="2" t="s">
        <v>65</v>
      </c>
    </row>
    <row r="340" spans="2:10" x14ac:dyDescent="0.35">
      <c r="B340" s="2" t="s">
        <v>386</v>
      </c>
      <c r="C340" s="2" t="s">
        <v>29</v>
      </c>
      <c r="D340" s="2" t="s">
        <v>30</v>
      </c>
      <c r="E340">
        <v>1</v>
      </c>
      <c r="F340">
        <v>26547</v>
      </c>
      <c r="G340">
        <v>26547</v>
      </c>
      <c r="H340" s="1">
        <v>45643</v>
      </c>
      <c r="I340" s="2" t="s">
        <v>17</v>
      </c>
      <c r="J340" s="2" t="s">
        <v>34</v>
      </c>
    </row>
    <row r="341" spans="2:10" x14ac:dyDescent="0.35">
      <c r="B341" s="2" t="s">
        <v>387</v>
      </c>
      <c r="C341" s="2" t="s">
        <v>15</v>
      </c>
      <c r="D341" s="2" t="s">
        <v>16</v>
      </c>
      <c r="E341">
        <v>5</v>
      </c>
      <c r="F341">
        <v>952</v>
      </c>
      <c r="G341">
        <v>476</v>
      </c>
      <c r="H341" s="1">
        <v>45330</v>
      </c>
      <c r="I341" s="2" t="s">
        <v>17</v>
      </c>
      <c r="J341" s="2" t="s">
        <v>84</v>
      </c>
    </row>
    <row r="342" spans="2:10" x14ac:dyDescent="0.35">
      <c r="B342" s="2" t="s">
        <v>388</v>
      </c>
      <c r="C342" s="2" t="s">
        <v>53</v>
      </c>
      <c r="D342" s="2" t="s">
        <v>30</v>
      </c>
      <c r="E342">
        <v>2</v>
      </c>
      <c r="F342">
        <v>30104</v>
      </c>
      <c r="G342">
        <v>60208</v>
      </c>
      <c r="H342" s="1">
        <v>45307</v>
      </c>
      <c r="I342" s="2" t="s">
        <v>24</v>
      </c>
      <c r="J342" s="2" t="s">
        <v>25</v>
      </c>
    </row>
    <row r="343" spans="2:10" x14ac:dyDescent="0.35">
      <c r="B343" s="2" t="s">
        <v>389</v>
      </c>
      <c r="C343" s="2" t="s">
        <v>19</v>
      </c>
      <c r="D343" s="2" t="s">
        <v>20</v>
      </c>
      <c r="E343">
        <v>1</v>
      </c>
      <c r="F343">
        <v>96224</v>
      </c>
      <c r="G343">
        <v>96224</v>
      </c>
      <c r="H343" s="1">
        <v>45458</v>
      </c>
      <c r="I343" s="2" t="s">
        <v>43</v>
      </c>
      <c r="J343" s="2" t="s">
        <v>27</v>
      </c>
    </row>
    <row r="344" spans="2:10" x14ac:dyDescent="0.35">
      <c r="B344" s="2" t="s">
        <v>390</v>
      </c>
      <c r="C344" s="2" t="s">
        <v>38</v>
      </c>
      <c r="D344" s="2" t="s">
        <v>23</v>
      </c>
      <c r="E344">
        <v>16</v>
      </c>
      <c r="F344">
        <v>1146</v>
      </c>
      <c r="G344">
        <v>18336</v>
      </c>
      <c r="H344" s="1">
        <v>45529</v>
      </c>
      <c r="I344" s="2" t="s">
        <v>24</v>
      </c>
      <c r="J344" s="2" t="s">
        <v>48</v>
      </c>
    </row>
    <row r="345" spans="2:10" x14ac:dyDescent="0.35">
      <c r="B345" s="2" t="s">
        <v>391</v>
      </c>
      <c r="C345" s="2" t="s">
        <v>19</v>
      </c>
      <c r="D345" s="2" t="s">
        <v>20</v>
      </c>
      <c r="E345">
        <v>1</v>
      </c>
      <c r="F345">
        <v>639536</v>
      </c>
      <c r="G345">
        <v>639536</v>
      </c>
      <c r="H345" s="1">
        <v>45577</v>
      </c>
      <c r="I345" s="2" t="s">
        <v>33</v>
      </c>
      <c r="J345" s="2" t="s">
        <v>25</v>
      </c>
    </row>
    <row r="346" spans="2:10" x14ac:dyDescent="0.35">
      <c r="B346" s="2" t="s">
        <v>392</v>
      </c>
      <c r="C346" s="2" t="s">
        <v>41</v>
      </c>
      <c r="D346" s="2" t="s">
        <v>11</v>
      </c>
      <c r="E346">
        <v>17</v>
      </c>
      <c r="F346">
        <v>17345</v>
      </c>
      <c r="G346">
        <v>294865</v>
      </c>
      <c r="H346" s="1">
        <v>45472</v>
      </c>
      <c r="I346" s="2" t="s">
        <v>43</v>
      </c>
      <c r="J346" s="2" t="s">
        <v>13</v>
      </c>
    </row>
    <row r="347" spans="2:10" x14ac:dyDescent="0.35">
      <c r="B347" s="2" t="s">
        <v>393</v>
      </c>
      <c r="C347" s="2" t="s">
        <v>15</v>
      </c>
      <c r="D347" s="2" t="s">
        <v>16</v>
      </c>
      <c r="E347">
        <v>3</v>
      </c>
      <c r="F347">
        <v>1016</v>
      </c>
      <c r="G347">
        <v>3048</v>
      </c>
      <c r="H347" s="1">
        <v>45301</v>
      </c>
      <c r="I347" s="2" t="s">
        <v>43</v>
      </c>
      <c r="J347" s="2" t="s">
        <v>39</v>
      </c>
    </row>
    <row r="348" spans="2:10" x14ac:dyDescent="0.35">
      <c r="B348" s="2" t="s">
        <v>394</v>
      </c>
      <c r="C348" s="2" t="s">
        <v>55</v>
      </c>
      <c r="D348" s="2" t="s">
        <v>56</v>
      </c>
      <c r="E348">
        <v>4</v>
      </c>
      <c r="F348">
        <v>451</v>
      </c>
      <c r="G348">
        <v>1804</v>
      </c>
      <c r="H348" s="1">
        <v>45293</v>
      </c>
      <c r="I348" s="2" t="s">
        <v>12</v>
      </c>
      <c r="J348" s="2" t="s">
        <v>13</v>
      </c>
    </row>
    <row r="349" spans="2:10" x14ac:dyDescent="0.35">
      <c r="B349" s="2" t="s">
        <v>395</v>
      </c>
      <c r="C349" s="2" t="s">
        <v>55</v>
      </c>
      <c r="D349" s="2" t="s">
        <v>56</v>
      </c>
      <c r="E349">
        <v>3</v>
      </c>
      <c r="F349">
        <v>3904</v>
      </c>
      <c r="G349">
        <v>11712</v>
      </c>
      <c r="H349" s="1">
        <v>45356</v>
      </c>
      <c r="I349" s="2" t="s">
        <v>24</v>
      </c>
      <c r="J349" s="2" t="s">
        <v>65</v>
      </c>
    </row>
    <row r="350" spans="2:10" x14ac:dyDescent="0.35">
      <c r="B350" s="2" t="s">
        <v>396</v>
      </c>
      <c r="C350" s="2" t="s">
        <v>41</v>
      </c>
      <c r="D350" s="2" t="s">
        <v>11</v>
      </c>
      <c r="E350">
        <v>13</v>
      </c>
      <c r="F350">
        <v>16364</v>
      </c>
      <c r="G350">
        <v>212732</v>
      </c>
      <c r="H350" s="1">
        <v>45362</v>
      </c>
      <c r="I350" s="2" t="s">
        <v>12</v>
      </c>
      <c r="J350" s="2" t="s">
        <v>45</v>
      </c>
    </row>
    <row r="351" spans="2:10" x14ac:dyDescent="0.35">
      <c r="B351" s="2" t="s">
        <v>397</v>
      </c>
      <c r="C351" s="2" t="s">
        <v>41</v>
      </c>
      <c r="D351" s="2" t="s">
        <v>11</v>
      </c>
      <c r="E351">
        <v>2</v>
      </c>
      <c r="F351">
        <v>17107</v>
      </c>
      <c r="G351">
        <v>34214</v>
      </c>
      <c r="H351" s="1">
        <v>45592</v>
      </c>
      <c r="I351" s="2" t="s">
        <v>33</v>
      </c>
      <c r="J351" s="2" t="s">
        <v>25</v>
      </c>
    </row>
    <row r="352" spans="2:10" x14ac:dyDescent="0.35">
      <c r="B352" s="2" t="s">
        <v>398</v>
      </c>
      <c r="C352" s="2" t="s">
        <v>29</v>
      </c>
      <c r="D352" s="2" t="s">
        <v>30</v>
      </c>
      <c r="E352">
        <v>1</v>
      </c>
      <c r="F352">
        <v>25366</v>
      </c>
      <c r="G352">
        <v>25366</v>
      </c>
      <c r="H352" s="1">
        <v>45429</v>
      </c>
      <c r="I352" s="2" t="s">
        <v>33</v>
      </c>
      <c r="J352" s="2" t="s">
        <v>48</v>
      </c>
    </row>
    <row r="353" spans="2:10" x14ac:dyDescent="0.35">
      <c r="B353" s="2" t="s">
        <v>399</v>
      </c>
      <c r="C353" s="2" t="s">
        <v>61</v>
      </c>
      <c r="D353" s="2" t="s">
        <v>30</v>
      </c>
      <c r="E353">
        <v>15</v>
      </c>
      <c r="F353">
        <v>90698</v>
      </c>
      <c r="G353">
        <v>136047</v>
      </c>
      <c r="H353" s="1">
        <v>45349</v>
      </c>
      <c r="I353" s="2" t="s">
        <v>17</v>
      </c>
      <c r="J353" s="2" t="s">
        <v>59</v>
      </c>
    </row>
    <row r="354" spans="2:10" x14ac:dyDescent="0.35">
      <c r="B354" s="2" t="s">
        <v>400</v>
      </c>
      <c r="C354" s="2" t="s">
        <v>15</v>
      </c>
      <c r="D354" s="2" t="s">
        <v>16</v>
      </c>
      <c r="E354">
        <v>1</v>
      </c>
      <c r="F354">
        <v>1031</v>
      </c>
      <c r="G354">
        <v>1031</v>
      </c>
      <c r="H354" s="1">
        <v>45418</v>
      </c>
      <c r="I354" s="2" t="s">
        <v>43</v>
      </c>
      <c r="J354" s="2" t="s">
        <v>27</v>
      </c>
    </row>
    <row r="355" spans="2:10" x14ac:dyDescent="0.35">
      <c r="B355" s="2" t="s">
        <v>401</v>
      </c>
      <c r="C355" s="2" t="s">
        <v>41</v>
      </c>
      <c r="D355" s="2" t="s">
        <v>11</v>
      </c>
      <c r="E355">
        <v>14</v>
      </c>
      <c r="F355">
        <v>16709</v>
      </c>
      <c r="G355">
        <v>233926</v>
      </c>
      <c r="H355" s="1">
        <v>45336</v>
      </c>
      <c r="I355" s="2" t="s">
        <v>43</v>
      </c>
      <c r="J355" s="2" t="s">
        <v>13</v>
      </c>
    </row>
    <row r="356" spans="2:10" x14ac:dyDescent="0.35">
      <c r="B356" s="2" t="s">
        <v>402</v>
      </c>
      <c r="C356" s="2" t="s">
        <v>41</v>
      </c>
      <c r="D356" s="2" t="s">
        <v>11</v>
      </c>
      <c r="E356">
        <v>8</v>
      </c>
      <c r="F356">
        <v>14093</v>
      </c>
      <c r="G356">
        <v>112744</v>
      </c>
      <c r="H356" s="1">
        <v>45385</v>
      </c>
      <c r="I356" s="2" t="s">
        <v>24</v>
      </c>
      <c r="J356" s="2" t="s">
        <v>45</v>
      </c>
    </row>
    <row r="357" spans="2:10" x14ac:dyDescent="0.35">
      <c r="B357" s="2" t="s">
        <v>403</v>
      </c>
      <c r="C357" s="2" t="s">
        <v>38</v>
      </c>
      <c r="D357" s="2" t="s">
        <v>23</v>
      </c>
      <c r="E357">
        <v>19</v>
      </c>
      <c r="F357">
        <v>1835</v>
      </c>
      <c r="G357">
        <v>34865</v>
      </c>
      <c r="H357" s="1">
        <v>45582</v>
      </c>
      <c r="I357" s="2" t="s">
        <v>33</v>
      </c>
      <c r="J357" s="2" t="s">
        <v>45</v>
      </c>
    </row>
    <row r="358" spans="2:10" x14ac:dyDescent="0.35">
      <c r="B358" s="2" t="s">
        <v>404</v>
      </c>
      <c r="C358" s="2" t="s">
        <v>29</v>
      </c>
      <c r="D358" s="2" t="s">
        <v>30</v>
      </c>
      <c r="E358">
        <v>14</v>
      </c>
      <c r="F358">
        <v>20908</v>
      </c>
      <c r="G358">
        <v>292712</v>
      </c>
      <c r="H358" s="1">
        <v>45481</v>
      </c>
      <c r="I358" s="2" t="s">
        <v>43</v>
      </c>
      <c r="J358" s="2" t="s">
        <v>45</v>
      </c>
    </row>
    <row r="359" spans="2:10" x14ac:dyDescent="0.35">
      <c r="B359" s="2" t="s">
        <v>405</v>
      </c>
      <c r="C359" s="2" t="s">
        <v>10</v>
      </c>
      <c r="D359" s="2" t="s">
        <v>11</v>
      </c>
      <c r="E359">
        <v>11</v>
      </c>
      <c r="F359">
        <v>1735</v>
      </c>
      <c r="G359">
        <v>19085</v>
      </c>
      <c r="H359" s="1">
        <v>45525</v>
      </c>
      <c r="I359" s="2" t="s">
        <v>24</v>
      </c>
      <c r="J359" s="2" t="s">
        <v>95</v>
      </c>
    </row>
    <row r="360" spans="2:10" x14ac:dyDescent="0.35">
      <c r="B360" s="2" t="s">
        <v>406</v>
      </c>
      <c r="C360" s="2" t="s">
        <v>38</v>
      </c>
      <c r="D360" s="2" t="s">
        <v>23</v>
      </c>
      <c r="E360">
        <v>8</v>
      </c>
      <c r="F360">
        <v>1549</v>
      </c>
      <c r="G360">
        <v>12392</v>
      </c>
      <c r="H360" s="1">
        <v>45418</v>
      </c>
      <c r="I360" s="2" t="s">
        <v>43</v>
      </c>
      <c r="J360" s="2" t="s">
        <v>59</v>
      </c>
    </row>
    <row r="361" spans="2:10" x14ac:dyDescent="0.35">
      <c r="B361" s="2" t="s">
        <v>407</v>
      </c>
      <c r="C361" s="2" t="s">
        <v>10</v>
      </c>
      <c r="D361" s="2" t="s">
        <v>11</v>
      </c>
      <c r="E361">
        <v>18</v>
      </c>
      <c r="F361">
        <v>12564</v>
      </c>
      <c r="G361">
        <v>226152</v>
      </c>
      <c r="H361" s="1">
        <v>45539</v>
      </c>
      <c r="I361" s="2" t="s">
        <v>17</v>
      </c>
      <c r="J361" s="2" t="s">
        <v>57</v>
      </c>
    </row>
    <row r="362" spans="2:10" x14ac:dyDescent="0.35">
      <c r="B362" s="2" t="s">
        <v>408</v>
      </c>
      <c r="C362" s="2" t="s">
        <v>29</v>
      </c>
      <c r="D362" s="2" t="s">
        <v>30</v>
      </c>
      <c r="E362">
        <v>5</v>
      </c>
      <c r="F362">
        <v>22758</v>
      </c>
      <c r="G362">
        <v>11379</v>
      </c>
      <c r="H362" s="1">
        <v>45549</v>
      </c>
      <c r="I362" s="2" t="s">
        <v>33</v>
      </c>
      <c r="J362" s="2" t="s">
        <v>95</v>
      </c>
    </row>
    <row r="363" spans="2:10" x14ac:dyDescent="0.35">
      <c r="B363" s="2" t="s">
        <v>409</v>
      </c>
      <c r="C363" s="2" t="s">
        <v>10</v>
      </c>
      <c r="D363" s="2" t="s">
        <v>11</v>
      </c>
      <c r="E363">
        <v>1</v>
      </c>
      <c r="F363">
        <v>13895</v>
      </c>
      <c r="G363">
        <v>13895</v>
      </c>
      <c r="H363" s="1">
        <v>45534</v>
      </c>
      <c r="I363" s="2" t="s">
        <v>43</v>
      </c>
      <c r="J363" s="2" t="s">
        <v>27</v>
      </c>
    </row>
    <row r="364" spans="2:10" x14ac:dyDescent="0.35">
      <c r="B364" s="2" t="s">
        <v>410</v>
      </c>
      <c r="C364" s="2" t="s">
        <v>10</v>
      </c>
      <c r="D364" s="2" t="s">
        <v>11</v>
      </c>
      <c r="E364">
        <v>19</v>
      </c>
      <c r="F364">
        <v>15709</v>
      </c>
      <c r="G364">
        <v>298471</v>
      </c>
      <c r="H364" s="1">
        <v>45628</v>
      </c>
      <c r="I364" s="2" t="s">
        <v>33</v>
      </c>
      <c r="J364" s="2" t="s">
        <v>36</v>
      </c>
    </row>
    <row r="365" spans="2:10" x14ac:dyDescent="0.35">
      <c r="B365" s="2" t="s">
        <v>411</v>
      </c>
      <c r="C365" s="2" t="s">
        <v>61</v>
      </c>
      <c r="D365" s="2" t="s">
        <v>30</v>
      </c>
      <c r="E365">
        <v>14</v>
      </c>
      <c r="F365">
        <v>89547</v>
      </c>
      <c r="G365">
        <v>1253658</v>
      </c>
      <c r="H365" s="1">
        <v>45400</v>
      </c>
      <c r="I365" s="2" t="s">
        <v>12</v>
      </c>
      <c r="J365" s="2" t="s">
        <v>48</v>
      </c>
    </row>
    <row r="366" spans="2:10" x14ac:dyDescent="0.35">
      <c r="B366" s="2" t="s">
        <v>412</v>
      </c>
      <c r="C366" s="2" t="s">
        <v>55</v>
      </c>
      <c r="D366" s="2" t="s">
        <v>56</v>
      </c>
      <c r="E366">
        <v>20</v>
      </c>
      <c r="F366">
        <v>4545</v>
      </c>
      <c r="G366">
        <v>9090</v>
      </c>
      <c r="H366" s="1">
        <v>45466</v>
      </c>
      <c r="I366" s="2" t="s">
        <v>12</v>
      </c>
      <c r="J366" s="2" t="s">
        <v>36</v>
      </c>
    </row>
    <row r="367" spans="2:10" x14ac:dyDescent="0.35">
      <c r="B367" s="2" t="s">
        <v>413</v>
      </c>
      <c r="C367" s="2" t="s">
        <v>55</v>
      </c>
      <c r="D367" s="2" t="s">
        <v>56</v>
      </c>
      <c r="E367">
        <v>15</v>
      </c>
      <c r="F367">
        <v>3319</v>
      </c>
      <c r="G367">
        <v>49785</v>
      </c>
      <c r="H367" s="1">
        <v>45326</v>
      </c>
      <c r="I367" s="2" t="s">
        <v>12</v>
      </c>
      <c r="J367" s="2" t="s">
        <v>36</v>
      </c>
    </row>
    <row r="368" spans="2:10" x14ac:dyDescent="0.35">
      <c r="B368" s="2" t="s">
        <v>414</v>
      </c>
      <c r="C368" s="2" t="s">
        <v>55</v>
      </c>
      <c r="D368" s="2" t="s">
        <v>56</v>
      </c>
      <c r="E368">
        <v>14</v>
      </c>
      <c r="F368">
        <v>2583</v>
      </c>
      <c r="G368">
        <v>36162</v>
      </c>
      <c r="H368" s="1">
        <v>45592</v>
      </c>
      <c r="I368" s="2" t="s">
        <v>24</v>
      </c>
      <c r="J368" s="2" t="s">
        <v>50</v>
      </c>
    </row>
    <row r="369" spans="2:10" x14ac:dyDescent="0.35">
      <c r="B369" s="2" t="s">
        <v>415</v>
      </c>
      <c r="C369" s="2" t="s">
        <v>61</v>
      </c>
      <c r="D369" s="2" t="s">
        <v>30</v>
      </c>
      <c r="E369">
        <v>16</v>
      </c>
      <c r="F369">
        <v>8110</v>
      </c>
      <c r="G369">
        <v>129760</v>
      </c>
      <c r="H369" s="1">
        <v>45369</v>
      </c>
      <c r="I369" s="2" t="s">
        <v>24</v>
      </c>
      <c r="J369" s="2" t="s">
        <v>36</v>
      </c>
    </row>
    <row r="370" spans="2:10" x14ac:dyDescent="0.35">
      <c r="B370" s="2" t="s">
        <v>416</v>
      </c>
      <c r="C370" s="2" t="s">
        <v>29</v>
      </c>
      <c r="D370" s="2" t="s">
        <v>30</v>
      </c>
      <c r="E370">
        <v>3</v>
      </c>
      <c r="F370">
        <v>23258</v>
      </c>
      <c r="G370">
        <v>69774</v>
      </c>
      <c r="H370" s="1">
        <v>45297</v>
      </c>
      <c r="I370" s="2" t="s">
        <v>24</v>
      </c>
      <c r="J370" s="2" t="s">
        <v>59</v>
      </c>
    </row>
    <row r="371" spans="2:10" x14ac:dyDescent="0.35">
      <c r="B371" s="2" t="s">
        <v>417</v>
      </c>
      <c r="C371" s="2" t="s">
        <v>61</v>
      </c>
      <c r="D371" s="2" t="s">
        <v>30</v>
      </c>
      <c r="E371">
        <v>1</v>
      </c>
      <c r="F371">
        <v>9357</v>
      </c>
      <c r="G371">
        <v>9357</v>
      </c>
      <c r="H371" s="1">
        <v>45626</v>
      </c>
      <c r="I371" s="2" t="s">
        <v>12</v>
      </c>
      <c r="J371" s="2" t="s">
        <v>13</v>
      </c>
    </row>
    <row r="372" spans="2:10" x14ac:dyDescent="0.35">
      <c r="B372" s="2" t="s">
        <v>418</v>
      </c>
      <c r="C372" s="2" t="s">
        <v>61</v>
      </c>
      <c r="D372" s="2" t="s">
        <v>30</v>
      </c>
      <c r="E372">
        <v>9</v>
      </c>
      <c r="F372">
        <v>93122</v>
      </c>
      <c r="G372">
        <v>838098</v>
      </c>
      <c r="H372" s="1">
        <v>45321</v>
      </c>
      <c r="I372" s="2" t="s">
        <v>43</v>
      </c>
      <c r="J372" s="2" t="s">
        <v>13</v>
      </c>
    </row>
    <row r="373" spans="2:10" x14ac:dyDescent="0.35">
      <c r="B373" s="2" t="s">
        <v>419</v>
      </c>
      <c r="C373" s="2" t="s">
        <v>29</v>
      </c>
      <c r="D373" s="2" t="s">
        <v>30</v>
      </c>
      <c r="E373">
        <v>9</v>
      </c>
      <c r="F373">
        <v>29175</v>
      </c>
      <c r="G373">
        <v>262575</v>
      </c>
      <c r="H373" s="1">
        <v>45300</v>
      </c>
      <c r="I373" s="2" t="s">
        <v>43</v>
      </c>
      <c r="J373" s="2" t="s">
        <v>34</v>
      </c>
    </row>
    <row r="374" spans="2:10" x14ac:dyDescent="0.35">
      <c r="B374" s="2" t="s">
        <v>420</v>
      </c>
      <c r="C374" s="2" t="s">
        <v>15</v>
      </c>
      <c r="D374" s="2" t="s">
        <v>16</v>
      </c>
      <c r="E374">
        <v>14</v>
      </c>
      <c r="F374">
        <v>1115</v>
      </c>
      <c r="G374">
        <v>1561</v>
      </c>
      <c r="H374" s="1">
        <v>45424</v>
      </c>
      <c r="I374" s="2" t="s">
        <v>33</v>
      </c>
      <c r="J374" s="2" t="s">
        <v>59</v>
      </c>
    </row>
    <row r="375" spans="2:10" x14ac:dyDescent="0.35">
      <c r="B375" s="2" t="s">
        <v>421</v>
      </c>
      <c r="C375" s="2" t="s">
        <v>10</v>
      </c>
      <c r="D375" s="2" t="s">
        <v>11</v>
      </c>
      <c r="E375">
        <v>17</v>
      </c>
      <c r="F375">
        <v>16016</v>
      </c>
      <c r="G375">
        <v>272272</v>
      </c>
      <c r="H375" s="1">
        <v>45610</v>
      </c>
      <c r="I375" s="2" t="s">
        <v>43</v>
      </c>
      <c r="J375" s="2" t="s">
        <v>134</v>
      </c>
    </row>
    <row r="376" spans="2:10" x14ac:dyDescent="0.35">
      <c r="B376" s="2" t="s">
        <v>422</v>
      </c>
      <c r="C376" s="2" t="s">
        <v>38</v>
      </c>
      <c r="D376" s="2" t="s">
        <v>23</v>
      </c>
      <c r="E376">
        <v>4</v>
      </c>
      <c r="F376">
        <v>1207</v>
      </c>
      <c r="G376">
        <v>4828</v>
      </c>
      <c r="H376" s="1">
        <v>45415</v>
      </c>
      <c r="I376" s="2" t="s">
        <v>33</v>
      </c>
      <c r="J376" s="2" t="s">
        <v>36</v>
      </c>
    </row>
    <row r="377" spans="2:10" x14ac:dyDescent="0.35">
      <c r="B377" s="2" t="s">
        <v>423</v>
      </c>
      <c r="C377" s="2" t="s">
        <v>22</v>
      </c>
      <c r="D377" s="2" t="s">
        <v>23</v>
      </c>
      <c r="E377">
        <v>7</v>
      </c>
      <c r="F377">
        <v>141</v>
      </c>
      <c r="G377">
        <v>987</v>
      </c>
      <c r="H377" s="1">
        <v>45308</v>
      </c>
      <c r="I377" s="2" t="s">
        <v>17</v>
      </c>
      <c r="J377" s="2" t="s">
        <v>31</v>
      </c>
    </row>
    <row r="378" spans="2:10" x14ac:dyDescent="0.35">
      <c r="B378" s="2" t="s">
        <v>424</v>
      </c>
      <c r="C378" s="2" t="s">
        <v>41</v>
      </c>
      <c r="D378" s="2" t="s">
        <v>11</v>
      </c>
      <c r="E378">
        <v>2</v>
      </c>
      <c r="F378">
        <v>18047</v>
      </c>
      <c r="G378">
        <v>36094</v>
      </c>
      <c r="H378" s="1">
        <v>45335</v>
      </c>
      <c r="I378" s="2" t="s">
        <v>33</v>
      </c>
      <c r="J378" s="2" t="s">
        <v>97</v>
      </c>
    </row>
    <row r="379" spans="2:10" x14ac:dyDescent="0.35">
      <c r="B379" s="2" t="s">
        <v>425</v>
      </c>
      <c r="C379" s="2" t="s">
        <v>38</v>
      </c>
      <c r="D379" s="2" t="s">
        <v>23</v>
      </c>
      <c r="E379">
        <v>4</v>
      </c>
      <c r="F379">
        <v>1992</v>
      </c>
      <c r="G379">
        <v>7968</v>
      </c>
      <c r="H379" s="1">
        <v>45454</v>
      </c>
      <c r="I379" s="2" t="s">
        <v>12</v>
      </c>
      <c r="J379" s="2" t="s">
        <v>39</v>
      </c>
    </row>
    <row r="380" spans="2:10" x14ac:dyDescent="0.35">
      <c r="B380" s="2" t="s">
        <v>426</v>
      </c>
      <c r="C380" s="2" t="s">
        <v>53</v>
      </c>
      <c r="D380" s="2" t="s">
        <v>30</v>
      </c>
      <c r="E380">
        <v>1</v>
      </c>
      <c r="F380">
        <v>25454</v>
      </c>
      <c r="G380">
        <v>25454</v>
      </c>
      <c r="H380" s="1">
        <v>45302</v>
      </c>
      <c r="I380" s="2" t="s">
        <v>43</v>
      </c>
      <c r="J380" s="2" t="s">
        <v>48</v>
      </c>
    </row>
    <row r="381" spans="2:10" x14ac:dyDescent="0.35">
      <c r="B381" s="2" t="s">
        <v>427</v>
      </c>
      <c r="C381" s="2" t="s">
        <v>29</v>
      </c>
      <c r="D381" s="2" t="s">
        <v>30</v>
      </c>
      <c r="E381">
        <v>19</v>
      </c>
      <c r="F381">
        <v>28665</v>
      </c>
      <c r="G381">
        <v>544635</v>
      </c>
      <c r="H381" s="1">
        <v>45426</v>
      </c>
      <c r="I381" s="2" t="s">
        <v>43</v>
      </c>
      <c r="J381" s="2" t="s">
        <v>13</v>
      </c>
    </row>
    <row r="382" spans="2:10" x14ac:dyDescent="0.35">
      <c r="B382" s="2" t="s">
        <v>428</v>
      </c>
      <c r="C382" s="2" t="s">
        <v>10</v>
      </c>
      <c r="D382" s="2" t="s">
        <v>11</v>
      </c>
      <c r="E382">
        <v>2</v>
      </c>
      <c r="F382">
        <v>19959</v>
      </c>
      <c r="G382">
        <v>39918</v>
      </c>
      <c r="H382" s="1">
        <v>45316</v>
      </c>
      <c r="I382" s="2" t="s">
        <v>43</v>
      </c>
      <c r="J382" s="2" t="s">
        <v>13</v>
      </c>
    </row>
    <row r="383" spans="2:10" x14ac:dyDescent="0.35">
      <c r="B383" s="2" t="s">
        <v>429</v>
      </c>
      <c r="C383" s="2" t="s">
        <v>15</v>
      </c>
      <c r="D383" s="2" t="s">
        <v>16</v>
      </c>
      <c r="E383">
        <v>17</v>
      </c>
      <c r="F383">
        <v>877</v>
      </c>
      <c r="G383">
        <v>14909</v>
      </c>
      <c r="H383" s="1">
        <v>45304</v>
      </c>
      <c r="I383" s="2" t="s">
        <v>43</v>
      </c>
      <c r="J383" s="2" t="s">
        <v>31</v>
      </c>
    </row>
    <row r="384" spans="2:10" x14ac:dyDescent="0.35">
      <c r="B384" s="2" t="s">
        <v>430</v>
      </c>
      <c r="C384" s="2" t="s">
        <v>29</v>
      </c>
      <c r="D384" s="2" t="s">
        <v>30</v>
      </c>
      <c r="E384">
        <v>18</v>
      </c>
      <c r="F384">
        <v>16863</v>
      </c>
      <c r="G384">
        <v>303534</v>
      </c>
      <c r="H384" s="1">
        <v>45543</v>
      </c>
      <c r="I384" s="2" t="s">
        <v>12</v>
      </c>
      <c r="J384" s="2" t="s">
        <v>80</v>
      </c>
    </row>
    <row r="385" spans="2:10" x14ac:dyDescent="0.35">
      <c r="B385" s="2" t="s">
        <v>431</v>
      </c>
      <c r="C385" s="2" t="s">
        <v>19</v>
      </c>
      <c r="D385" s="2" t="s">
        <v>20</v>
      </c>
      <c r="E385">
        <v>1</v>
      </c>
      <c r="F385">
        <v>665884</v>
      </c>
      <c r="G385">
        <v>665884</v>
      </c>
      <c r="H385" s="1">
        <v>45407</v>
      </c>
      <c r="I385" s="2" t="s">
        <v>24</v>
      </c>
      <c r="J385" s="2" t="s">
        <v>36</v>
      </c>
    </row>
    <row r="386" spans="2:10" x14ac:dyDescent="0.35">
      <c r="B386" s="2" t="s">
        <v>432</v>
      </c>
      <c r="C386" s="2" t="s">
        <v>29</v>
      </c>
      <c r="D386" s="2" t="s">
        <v>30</v>
      </c>
      <c r="E386">
        <v>9</v>
      </c>
      <c r="F386">
        <v>16638</v>
      </c>
      <c r="G386">
        <v>149742</v>
      </c>
      <c r="H386" s="1">
        <v>45357</v>
      </c>
      <c r="I386" s="2" t="s">
        <v>33</v>
      </c>
      <c r="J386" s="2" t="s">
        <v>48</v>
      </c>
    </row>
    <row r="387" spans="2:10" x14ac:dyDescent="0.35">
      <c r="B387" s="2" t="s">
        <v>433</v>
      </c>
      <c r="C387" s="2" t="s">
        <v>61</v>
      </c>
      <c r="D387" s="2" t="s">
        <v>30</v>
      </c>
      <c r="E387">
        <v>13</v>
      </c>
      <c r="F387">
        <v>8859</v>
      </c>
      <c r="G387">
        <v>115167</v>
      </c>
      <c r="H387" s="1">
        <v>45648</v>
      </c>
      <c r="I387" s="2" t="s">
        <v>43</v>
      </c>
      <c r="J387" s="2" t="s">
        <v>50</v>
      </c>
    </row>
    <row r="388" spans="2:10" x14ac:dyDescent="0.35">
      <c r="B388" s="2" t="s">
        <v>434</v>
      </c>
      <c r="C388" s="2" t="s">
        <v>53</v>
      </c>
      <c r="D388" s="2" t="s">
        <v>30</v>
      </c>
      <c r="E388">
        <v>3</v>
      </c>
      <c r="F388">
        <v>3633</v>
      </c>
      <c r="G388">
        <v>10899</v>
      </c>
      <c r="H388" s="1">
        <v>45501</v>
      </c>
      <c r="I388" s="2" t="s">
        <v>12</v>
      </c>
      <c r="J388" s="2" t="s">
        <v>48</v>
      </c>
    </row>
    <row r="389" spans="2:10" x14ac:dyDescent="0.35">
      <c r="B389" s="2" t="s">
        <v>435</v>
      </c>
      <c r="C389" s="2" t="s">
        <v>41</v>
      </c>
      <c r="D389" s="2" t="s">
        <v>11</v>
      </c>
      <c r="E389">
        <v>3</v>
      </c>
      <c r="F389">
        <v>12209</v>
      </c>
      <c r="G389">
        <v>36627</v>
      </c>
      <c r="H389" s="1">
        <v>45407</v>
      </c>
      <c r="I389" s="2" t="s">
        <v>43</v>
      </c>
      <c r="J389" s="2" t="s">
        <v>27</v>
      </c>
    </row>
    <row r="390" spans="2:10" x14ac:dyDescent="0.35">
      <c r="B390" s="2" t="s">
        <v>436</v>
      </c>
      <c r="C390" s="2" t="s">
        <v>29</v>
      </c>
      <c r="D390" s="2" t="s">
        <v>30</v>
      </c>
      <c r="E390">
        <v>10</v>
      </c>
      <c r="F390">
        <v>17114</v>
      </c>
      <c r="G390">
        <v>17114</v>
      </c>
      <c r="H390" s="1">
        <v>45352</v>
      </c>
      <c r="I390" s="2" t="s">
        <v>33</v>
      </c>
      <c r="J390" s="2" t="s">
        <v>13</v>
      </c>
    </row>
    <row r="391" spans="2:10" x14ac:dyDescent="0.35">
      <c r="B391" s="2" t="s">
        <v>437</v>
      </c>
      <c r="C391" s="2" t="s">
        <v>61</v>
      </c>
      <c r="D391" s="2" t="s">
        <v>30</v>
      </c>
      <c r="E391">
        <v>8</v>
      </c>
      <c r="F391">
        <v>94948</v>
      </c>
      <c r="G391">
        <v>759584</v>
      </c>
      <c r="H391" s="1">
        <v>45434</v>
      </c>
      <c r="I391" s="2" t="s">
        <v>12</v>
      </c>
      <c r="J391" s="2" t="s">
        <v>34</v>
      </c>
    </row>
    <row r="392" spans="2:10" x14ac:dyDescent="0.35">
      <c r="B392" s="2" t="s">
        <v>438</v>
      </c>
      <c r="C392" s="2" t="s">
        <v>19</v>
      </c>
      <c r="D392" s="2" t="s">
        <v>20</v>
      </c>
      <c r="E392">
        <v>1</v>
      </c>
      <c r="F392">
        <v>528447</v>
      </c>
      <c r="G392">
        <v>528447</v>
      </c>
      <c r="H392" s="1">
        <v>45492</v>
      </c>
      <c r="I392" s="2" t="s">
        <v>17</v>
      </c>
      <c r="J392" s="2" t="s">
        <v>59</v>
      </c>
    </row>
    <row r="393" spans="2:10" x14ac:dyDescent="0.35">
      <c r="B393" s="2" t="s">
        <v>439</v>
      </c>
      <c r="C393" s="2" t="s">
        <v>55</v>
      </c>
      <c r="D393" s="2" t="s">
        <v>56</v>
      </c>
      <c r="E393">
        <v>18</v>
      </c>
      <c r="F393">
        <v>4354</v>
      </c>
      <c r="G393">
        <v>78372</v>
      </c>
      <c r="H393" s="1">
        <v>45378</v>
      </c>
      <c r="I393" s="2" t="s">
        <v>24</v>
      </c>
      <c r="J393" s="2" t="s">
        <v>45</v>
      </c>
    </row>
    <row r="394" spans="2:10" x14ac:dyDescent="0.35">
      <c r="B394" s="2" t="s">
        <v>440</v>
      </c>
      <c r="C394" s="2" t="s">
        <v>53</v>
      </c>
      <c r="D394" s="2" t="s">
        <v>30</v>
      </c>
      <c r="E394">
        <v>13</v>
      </c>
      <c r="F394">
        <v>32575</v>
      </c>
      <c r="G394">
        <v>423475</v>
      </c>
      <c r="H394" s="1">
        <v>45479</v>
      </c>
      <c r="I394" s="2" t="s">
        <v>12</v>
      </c>
      <c r="J394" s="2" t="s">
        <v>31</v>
      </c>
    </row>
    <row r="395" spans="2:10" x14ac:dyDescent="0.35">
      <c r="B395" s="2" t="s">
        <v>441</v>
      </c>
      <c r="C395" s="2" t="s">
        <v>15</v>
      </c>
      <c r="D395" s="2" t="s">
        <v>16</v>
      </c>
      <c r="E395">
        <v>3</v>
      </c>
      <c r="F395">
        <v>106</v>
      </c>
      <c r="G395">
        <v>318</v>
      </c>
      <c r="H395" s="1">
        <v>45444</v>
      </c>
      <c r="I395" s="2" t="s">
        <v>43</v>
      </c>
      <c r="J395" s="2" t="s">
        <v>86</v>
      </c>
    </row>
    <row r="396" spans="2:10" x14ac:dyDescent="0.35">
      <c r="B396" s="2" t="s">
        <v>442</v>
      </c>
      <c r="C396" s="2" t="s">
        <v>22</v>
      </c>
      <c r="D396" s="2" t="s">
        <v>23</v>
      </c>
      <c r="E396">
        <v>14</v>
      </c>
      <c r="F396">
        <v>161</v>
      </c>
      <c r="G396">
        <v>2254</v>
      </c>
      <c r="H396" s="1">
        <v>45413</v>
      </c>
      <c r="I396" s="2" t="s">
        <v>12</v>
      </c>
      <c r="J396" s="2" t="s">
        <v>59</v>
      </c>
    </row>
    <row r="397" spans="2:10" x14ac:dyDescent="0.35">
      <c r="B397" s="2" t="s">
        <v>443</v>
      </c>
      <c r="C397" s="2" t="s">
        <v>41</v>
      </c>
      <c r="D397" s="2" t="s">
        <v>11</v>
      </c>
      <c r="E397">
        <v>13</v>
      </c>
      <c r="F397">
        <v>14983</v>
      </c>
      <c r="G397">
        <v>194779</v>
      </c>
      <c r="H397" s="1">
        <v>45307</v>
      </c>
      <c r="I397" s="2" t="s">
        <v>43</v>
      </c>
      <c r="J397" s="2" t="s">
        <v>27</v>
      </c>
    </row>
    <row r="398" spans="2:10" x14ac:dyDescent="0.35">
      <c r="B398" s="2" t="s">
        <v>444</v>
      </c>
      <c r="C398" s="2" t="s">
        <v>53</v>
      </c>
      <c r="D398" s="2" t="s">
        <v>30</v>
      </c>
      <c r="E398">
        <v>12</v>
      </c>
      <c r="F398">
        <v>26286</v>
      </c>
      <c r="G398">
        <v>315432</v>
      </c>
      <c r="H398" s="1">
        <v>45617</v>
      </c>
      <c r="I398" s="2" t="s">
        <v>24</v>
      </c>
      <c r="J398" s="2" t="s">
        <v>31</v>
      </c>
    </row>
    <row r="399" spans="2:10" x14ac:dyDescent="0.35">
      <c r="B399" s="2" t="s">
        <v>445</v>
      </c>
      <c r="C399" s="2" t="s">
        <v>19</v>
      </c>
      <c r="D399" s="2" t="s">
        <v>20</v>
      </c>
      <c r="E399">
        <v>1</v>
      </c>
      <c r="F399">
        <v>955005</v>
      </c>
      <c r="G399">
        <v>955005</v>
      </c>
      <c r="H399" s="1">
        <v>45424</v>
      </c>
      <c r="I399" s="2" t="s">
        <v>24</v>
      </c>
      <c r="J399" s="2" t="s">
        <v>70</v>
      </c>
    </row>
    <row r="400" spans="2:10" x14ac:dyDescent="0.35">
      <c r="B400" s="2" t="s">
        <v>446</v>
      </c>
      <c r="C400" s="2" t="s">
        <v>53</v>
      </c>
      <c r="D400" s="2" t="s">
        <v>30</v>
      </c>
      <c r="E400">
        <v>3</v>
      </c>
      <c r="F400">
        <v>29424</v>
      </c>
      <c r="G400">
        <v>88272</v>
      </c>
      <c r="H400" s="1">
        <v>45361</v>
      </c>
      <c r="I400" s="2" t="s">
        <v>24</v>
      </c>
      <c r="J400" s="2" t="s">
        <v>80</v>
      </c>
    </row>
    <row r="401" spans="2:10" x14ac:dyDescent="0.35">
      <c r="B401" s="2" t="s">
        <v>447</v>
      </c>
      <c r="C401" s="2" t="s">
        <v>41</v>
      </c>
      <c r="D401" s="2" t="s">
        <v>11</v>
      </c>
      <c r="E401">
        <v>2</v>
      </c>
      <c r="F401">
        <v>13313</v>
      </c>
      <c r="G401">
        <v>26626</v>
      </c>
      <c r="H401" s="1">
        <v>45618</v>
      </c>
      <c r="I401" s="2" t="s">
        <v>43</v>
      </c>
      <c r="J401" s="2" t="s">
        <v>80</v>
      </c>
    </row>
    <row r="402" spans="2:10" x14ac:dyDescent="0.35">
      <c r="B402" s="2" t="s">
        <v>448</v>
      </c>
      <c r="C402" s="2" t="s">
        <v>41</v>
      </c>
      <c r="D402" s="2" t="s">
        <v>11</v>
      </c>
      <c r="E402">
        <v>19</v>
      </c>
      <c r="F402">
        <v>16668</v>
      </c>
      <c r="G402">
        <v>316692</v>
      </c>
      <c r="H402" s="1">
        <v>45536</v>
      </c>
      <c r="I402" s="2" t="s">
        <v>24</v>
      </c>
      <c r="J402" s="2" t="s">
        <v>48</v>
      </c>
    </row>
    <row r="403" spans="2:10" x14ac:dyDescent="0.35">
      <c r="B403" s="2" t="s">
        <v>449</v>
      </c>
      <c r="C403" s="2" t="s">
        <v>22</v>
      </c>
      <c r="D403" s="2" t="s">
        <v>23</v>
      </c>
      <c r="E403">
        <v>6</v>
      </c>
      <c r="F403">
        <v>156</v>
      </c>
      <c r="G403">
        <v>936</v>
      </c>
      <c r="H403" s="1">
        <v>45638</v>
      </c>
      <c r="I403" s="2" t="s">
        <v>43</v>
      </c>
      <c r="J403" s="2" t="s">
        <v>134</v>
      </c>
    </row>
    <row r="404" spans="2:10" x14ac:dyDescent="0.35">
      <c r="B404" s="2" t="s">
        <v>450</v>
      </c>
      <c r="C404" s="2" t="s">
        <v>29</v>
      </c>
      <c r="D404" s="2" t="s">
        <v>30</v>
      </c>
      <c r="E404">
        <v>2</v>
      </c>
      <c r="F404">
        <v>21962</v>
      </c>
      <c r="G404">
        <v>43924</v>
      </c>
      <c r="H404" s="1">
        <v>45547</v>
      </c>
      <c r="I404" s="2" t="s">
        <v>12</v>
      </c>
      <c r="J404" s="2" t="s">
        <v>65</v>
      </c>
    </row>
    <row r="405" spans="2:10" x14ac:dyDescent="0.35">
      <c r="B405" s="2" t="s">
        <v>451</v>
      </c>
      <c r="C405" s="2" t="s">
        <v>55</v>
      </c>
      <c r="D405" s="2" t="s">
        <v>56</v>
      </c>
      <c r="E405">
        <v>9</v>
      </c>
      <c r="F405">
        <v>2203</v>
      </c>
      <c r="G405">
        <v>19827</v>
      </c>
      <c r="H405" s="1">
        <v>45483</v>
      </c>
      <c r="I405" s="2" t="s">
        <v>33</v>
      </c>
      <c r="J405" s="2" t="s">
        <v>48</v>
      </c>
    </row>
    <row r="406" spans="2:10" x14ac:dyDescent="0.35">
      <c r="B406" s="2" t="s">
        <v>452</v>
      </c>
      <c r="C406" s="2" t="s">
        <v>29</v>
      </c>
      <c r="D406" s="2" t="s">
        <v>30</v>
      </c>
      <c r="E406">
        <v>11</v>
      </c>
      <c r="F406">
        <v>24971</v>
      </c>
      <c r="G406">
        <v>274681</v>
      </c>
      <c r="H406" s="1">
        <v>45616</v>
      </c>
      <c r="I406" s="2" t="s">
        <v>43</v>
      </c>
      <c r="J406" s="2" t="s">
        <v>48</v>
      </c>
    </row>
    <row r="407" spans="2:10" x14ac:dyDescent="0.35">
      <c r="B407" s="2" t="s">
        <v>453</v>
      </c>
      <c r="C407" s="2" t="s">
        <v>15</v>
      </c>
      <c r="D407" s="2" t="s">
        <v>16</v>
      </c>
      <c r="E407">
        <v>9</v>
      </c>
      <c r="F407">
        <v>79</v>
      </c>
      <c r="G407">
        <v>711</v>
      </c>
      <c r="H407" s="1">
        <v>45616</v>
      </c>
      <c r="I407" s="2" t="s">
        <v>17</v>
      </c>
      <c r="J407" s="2" t="s">
        <v>50</v>
      </c>
    </row>
    <row r="408" spans="2:10" x14ac:dyDescent="0.35">
      <c r="B408" s="2" t="s">
        <v>454</v>
      </c>
      <c r="C408" s="2" t="s">
        <v>61</v>
      </c>
      <c r="D408" s="2" t="s">
        <v>30</v>
      </c>
      <c r="E408">
        <v>20</v>
      </c>
      <c r="F408">
        <v>92473</v>
      </c>
      <c r="G408">
        <v>184946</v>
      </c>
      <c r="H408" s="1">
        <v>45433</v>
      </c>
      <c r="I408" s="2" t="s">
        <v>17</v>
      </c>
      <c r="J408" s="2" t="s">
        <v>48</v>
      </c>
    </row>
    <row r="409" spans="2:10" x14ac:dyDescent="0.35">
      <c r="B409" s="2" t="s">
        <v>455</v>
      </c>
      <c r="C409" s="2" t="s">
        <v>19</v>
      </c>
      <c r="D409" s="2" t="s">
        <v>20</v>
      </c>
      <c r="E409">
        <v>1</v>
      </c>
      <c r="F409">
        <v>743094</v>
      </c>
      <c r="G409">
        <v>743094</v>
      </c>
      <c r="H409" s="1">
        <v>45391</v>
      </c>
      <c r="I409" s="2" t="s">
        <v>33</v>
      </c>
      <c r="J409" s="2" t="s">
        <v>25</v>
      </c>
    </row>
    <row r="410" spans="2:10" x14ac:dyDescent="0.35">
      <c r="B410" s="2" t="s">
        <v>456</v>
      </c>
      <c r="C410" s="2" t="s">
        <v>61</v>
      </c>
      <c r="D410" s="2" t="s">
        <v>30</v>
      </c>
      <c r="E410">
        <v>5</v>
      </c>
      <c r="F410">
        <v>84012</v>
      </c>
      <c r="G410">
        <v>42006</v>
      </c>
      <c r="H410" s="1">
        <v>45562</v>
      </c>
      <c r="I410" s="2" t="s">
        <v>12</v>
      </c>
      <c r="J410" s="2" t="s">
        <v>13</v>
      </c>
    </row>
    <row r="411" spans="2:10" x14ac:dyDescent="0.35">
      <c r="B411" s="2" t="s">
        <v>457</v>
      </c>
      <c r="C411" s="2" t="s">
        <v>22</v>
      </c>
      <c r="D411" s="2" t="s">
        <v>23</v>
      </c>
      <c r="E411">
        <v>16</v>
      </c>
      <c r="F411">
        <v>267</v>
      </c>
      <c r="G411">
        <v>4272</v>
      </c>
      <c r="H411" s="1">
        <v>45361</v>
      </c>
      <c r="I411" s="2" t="s">
        <v>12</v>
      </c>
      <c r="J411" s="2" t="s">
        <v>59</v>
      </c>
    </row>
    <row r="412" spans="2:10" x14ac:dyDescent="0.35">
      <c r="B412" s="2" t="s">
        <v>458</v>
      </c>
      <c r="C412" s="2" t="s">
        <v>53</v>
      </c>
      <c r="D412" s="2" t="s">
        <v>30</v>
      </c>
      <c r="E412">
        <v>11</v>
      </c>
      <c r="F412">
        <v>2301</v>
      </c>
      <c r="G412">
        <v>25311</v>
      </c>
      <c r="H412" s="1">
        <v>45650</v>
      </c>
      <c r="I412" s="2" t="s">
        <v>12</v>
      </c>
      <c r="J412" s="2" t="s">
        <v>45</v>
      </c>
    </row>
    <row r="413" spans="2:10" x14ac:dyDescent="0.35">
      <c r="B413" s="2" t="s">
        <v>459</v>
      </c>
      <c r="C413" s="2" t="s">
        <v>55</v>
      </c>
      <c r="D413" s="2" t="s">
        <v>56</v>
      </c>
      <c r="E413">
        <v>16</v>
      </c>
      <c r="F413">
        <v>306</v>
      </c>
      <c r="G413">
        <v>4896</v>
      </c>
      <c r="H413" s="1">
        <v>45607</v>
      </c>
      <c r="I413" s="2" t="s">
        <v>17</v>
      </c>
      <c r="J413" s="2" t="s">
        <v>13</v>
      </c>
    </row>
    <row r="414" spans="2:10" x14ac:dyDescent="0.35">
      <c r="B414" s="2" t="s">
        <v>460</v>
      </c>
      <c r="C414" s="2" t="s">
        <v>22</v>
      </c>
      <c r="D414" s="2" t="s">
        <v>23</v>
      </c>
      <c r="E414">
        <v>20</v>
      </c>
      <c r="F414">
        <v>129</v>
      </c>
      <c r="G414">
        <v>258</v>
      </c>
      <c r="H414" s="1">
        <v>45416</v>
      </c>
      <c r="I414" s="2" t="s">
        <v>12</v>
      </c>
      <c r="J414" s="2" t="s">
        <v>13</v>
      </c>
    </row>
    <row r="415" spans="2:10" x14ac:dyDescent="0.35">
      <c r="B415" s="2" t="s">
        <v>461</v>
      </c>
      <c r="C415" s="2" t="s">
        <v>61</v>
      </c>
      <c r="D415" s="2" t="s">
        <v>30</v>
      </c>
      <c r="E415">
        <v>12</v>
      </c>
      <c r="F415">
        <v>85591</v>
      </c>
      <c r="G415">
        <v>1027092</v>
      </c>
      <c r="H415" s="1">
        <v>45373</v>
      </c>
      <c r="I415" s="2" t="s">
        <v>33</v>
      </c>
      <c r="J415" s="2" t="s">
        <v>25</v>
      </c>
    </row>
    <row r="416" spans="2:10" x14ac:dyDescent="0.35">
      <c r="B416" s="2" t="s">
        <v>462</v>
      </c>
      <c r="C416" s="2" t="s">
        <v>29</v>
      </c>
      <c r="D416" s="2" t="s">
        <v>30</v>
      </c>
      <c r="E416">
        <v>20</v>
      </c>
      <c r="F416">
        <v>22582</v>
      </c>
      <c r="G416">
        <v>45164</v>
      </c>
      <c r="H416" s="1">
        <v>45366</v>
      </c>
      <c r="I416" s="2" t="s">
        <v>24</v>
      </c>
      <c r="J416" s="2" t="s">
        <v>36</v>
      </c>
    </row>
    <row r="417" spans="2:10" x14ac:dyDescent="0.35">
      <c r="B417" s="2" t="s">
        <v>463</v>
      </c>
      <c r="C417" s="2" t="s">
        <v>41</v>
      </c>
      <c r="D417" s="2" t="s">
        <v>11</v>
      </c>
      <c r="E417">
        <v>16</v>
      </c>
      <c r="F417">
        <v>14062</v>
      </c>
      <c r="G417">
        <v>224992</v>
      </c>
      <c r="H417" s="1">
        <v>45358</v>
      </c>
      <c r="I417" s="2" t="s">
        <v>43</v>
      </c>
      <c r="J417" s="2" t="s">
        <v>36</v>
      </c>
    </row>
    <row r="418" spans="2:10" x14ac:dyDescent="0.35">
      <c r="B418" s="2" t="s">
        <v>464</v>
      </c>
      <c r="C418" s="2" t="s">
        <v>53</v>
      </c>
      <c r="D418" s="2" t="s">
        <v>30</v>
      </c>
      <c r="E418">
        <v>12</v>
      </c>
      <c r="F418">
        <v>37017</v>
      </c>
      <c r="G418">
        <v>444204</v>
      </c>
      <c r="H418" s="1">
        <v>45600</v>
      </c>
      <c r="I418" s="2" t="s">
        <v>24</v>
      </c>
      <c r="J418" s="2" t="s">
        <v>39</v>
      </c>
    </row>
    <row r="419" spans="2:10" x14ac:dyDescent="0.35">
      <c r="B419" s="2" t="s">
        <v>465</v>
      </c>
      <c r="C419" s="2" t="s">
        <v>15</v>
      </c>
      <c r="D419" s="2" t="s">
        <v>16</v>
      </c>
      <c r="E419">
        <v>14</v>
      </c>
      <c r="F419">
        <v>84</v>
      </c>
      <c r="G419">
        <v>1176</v>
      </c>
      <c r="H419" s="1">
        <v>45565</v>
      </c>
      <c r="I419" s="2" t="s">
        <v>24</v>
      </c>
      <c r="J419" s="2" t="s">
        <v>50</v>
      </c>
    </row>
    <row r="420" spans="2:10" x14ac:dyDescent="0.35">
      <c r="B420" s="2" t="s">
        <v>466</v>
      </c>
      <c r="C420" s="2" t="s">
        <v>15</v>
      </c>
      <c r="D420" s="2" t="s">
        <v>16</v>
      </c>
      <c r="E420">
        <v>19</v>
      </c>
      <c r="F420">
        <v>1271</v>
      </c>
      <c r="G420">
        <v>24149</v>
      </c>
      <c r="H420" s="1">
        <v>45320</v>
      </c>
      <c r="I420" s="2" t="s">
        <v>43</v>
      </c>
      <c r="J420" s="2" t="s">
        <v>39</v>
      </c>
    </row>
    <row r="421" spans="2:10" x14ac:dyDescent="0.35">
      <c r="B421" s="2" t="s">
        <v>467</v>
      </c>
      <c r="C421" s="2" t="s">
        <v>38</v>
      </c>
      <c r="D421" s="2" t="s">
        <v>23</v>
      </c>
      <c r="E421">
        <v>2</v>
      </c>
      <c r="F421">
        <v>1849</v>
      </c>
      <c r="G421">
        <v>3698</v>
      </c>
      <c r="H421" s="1">
        <v>45376</v>
      </c>
      <c r="I421" s="2" t="s">
        <v>17</v>
      </c>
      <c r="J421" s="2" t="s">
        <v>95</v>
      </c>
    </row>
    <row r="422" spans="2:10" x14ac:dyDescent="0.35">
      <c r="B422" s="2" t="s">
        <v>468</v>
      </c>
      <c r="C422" s="2" t="s">
        <v>53</v>
      </c>
      <c r="D422" s="2" t="s">
        <v>30</v>
      </c>
      <c r="E422">
        <v>6</v>
      </c>
      <c r="F422">
        <v>23451</v>
      </c>
      <c r="G422">
        <v>140706</v>
      </c>
      <c r="H422" s="1">
        <v>45325</v>
      </c>
      <c r="I422" s="2" t="s">
        <v>12</v>
      </c>
      <c r="J422" s="2" t="s">
        <v>13</v>
      </c>
    </row>
    <row r="423" spans="2:10" x14ac:dyDescent="0.35">
      <c r="B423" s="2" t="s">
        <v>469</v>
      </c>
      <c r="C423" s="2" t="s">
        <v>41</v>
      </c>
      <c r="D423" s="2" t="s">
        <v>11</v>
      </c>
      <c r="E423">
        <v>13</v>
      </c>
      <c r="F423">
        <v>1980</v>
      </c>
      <c r="G423">
        <v>25740</v>
      </c>
      <c r="H423" s="1">
        <v>45491</v>
      </c>
      <c r="I423" s="2" t="s">
        <v>12</v>
      </c>
      <c r="J423" s="2" t="s">
        <v>31</v>
      </c>
    </row>
    <row r="424" spans="2:10" x14ac:dyDescent="0.35">
      <c r="B424" s="2" t="s">
        <v>470</v>
      </c>
      <c r="C424" s="2" t="s">
        <v>61</v>
      </c>
      <c r="D424" s="2" t="s">
        <v>30</v>
      </c>
      <c r="E424">
        <v>5</v>
      </c>
      <c r="F424">
        <v>87661</v>
      </c>
      <c r="G424">
        <v>438305</v>
      </c>
      <c r="H424" s="1">
        <v>45646</v>
      </c>
      <c r="I424" s="2" t="s">
        <v>17</v>
      </c>
      <c r="J424" s="2" t="s">
        <v>13</v>
      </c>
    </row>
    <row r="425" spans="2:10" x14ac:dyDescent="0.35">
      <c r="B425" s="2" t="s">
        <v>471</v>
      </c>
      <c r="C425" s="2" t="s">
        <v>53</v>
      </c>
      <c r="D425" s="2" t="s">
        <v>30</v>
      </c>
      <c r="E425">
        <v>5</v>
      </c>
      <c r="F425">
        <v>31406</v>
      </c>
      <c r="G425">
        <v>15703</v>
      </c>
      <c r="H425" s="1">
        <v>45480</v>
      </c>
      <c r="I425" s="2" t="s">
        <v>43</v>
      </c>
      <c r="J425" s="2" t="s">
        <v>48</v>
      </c>
    </row>
    <row r="426" spans="2:10" x14ac:dyDescent="0.35">
      <c r="B426" s="2" t="s">
        <v>472</v>
      </c>
      <c r="C426" s="2" t="s">
        <v>15</v>
      </c>
      <c r="D426" s="2" t="s">
        <v>16</v>
      </c>
      <c r="E426">
        <v>9</v>
      </c>
      <c r="F426">
        <v>749</v>
      </c>
      <c r="G426">
        <v>6741</v>
      </c>
      <c r="H426" s="1">
        <v>45314</v>
      </c>
      <c r="I426" s="2" t="s">
        <v>33</v>
      </c>
      <c r="J426" s="2" t="s">
        <v>31</v>
      </c>
    </row>
    <row r="427" spans="2:10" x14ac:dyDescent="0.35">
      <c r="B427" s="2" t="s">
        <v>473</v>
      </c>
      <c r="C427" s="2" t="s">
        <v>55</v>
      </c>
      <c r="D427" s="2" t="s">
        <v>56</v>
      </c>
      <c r="E427">
        <v>18</v>
      </c>
      <c r="F427">
        <v>2648</v>
      </c>
      <c r="G427">
        <v>47664</v>
      </c>
      <c r="H427" s="1">
        <v>45648</v>
      </c>
      <c r="I427" s="2" t="s">
        <v>12</v>
      </c>
      <c r="J427" s="2" t="s">
        <v>95</v>
      </c>
    </row>
    <row r="428" spans="2:10" x14ac:dyDescent="0.35">
      <c r="B428" s="2" t="s">
        <v>474</v>
      </c>
      <c r="C428" s="2" t="s">
        <v>38</v>
      </c>
      <c r="D428" s="2" t="s">
        <v>23</v>
      </c>
      <c r="E428">
        <v>5</v>
      </c>
      <c r="F428">
        <v>1861</v>
      </c>
      <c r="G428">
        <v>9305</v>
      </c>
      <c r="H428" s="1">
        <v>45372</v>
      </c>
      <c r="I428" s="2" t="s">
        <v>43</v>
      </c>
      <c r="J428" s="2" t="s">
        <v>80</v>
      </c>
    </row>
    <row r="429" spans="2:10" x14ac:dyDescent="0.35">
      <c r="B429" s="2" t="s">
        <v>475</v>
      </c>
      <c r="C429" s="2" t="s">
        <v>38</v>
      </c>
      <c r="D429" s="2" t="s">
        <v>23</v>
      </c>
      <c r="E429">
        <v>3</v>
      </c>
      <c r="F429">
        <v>1822</v>
      </c>
      <c r="G429">
        <v>5466</v>
      </c>
      <c r="H429" s="1">
        <v>45297</v>
      </c>
      <c r="I429" s="2" t="s">
        <v>33</v>
      </c>
      <c r="J429" s="2" t="s">
        <v>31</v>
      </c>
    </row>
    <row r="430" spans="2:10" x14ac:dyDescent="0.35">
      <c r="B430" s="2" t="s">
        <v>476</v>
      </c>
      <c r="C430" s="2" t="s">
        <v>22</v>
      </c>
      <c r="D430" s="2" t="s">
        <v>23</v>
      </c>
      <c r="E430">
        <v>17</v>
      </c>
      <c r="F430">
        <v>255</v>
      </c>
      <c r="G430">
        <v>4335</v>
      </c>
      <c r="H430" s="1">
        <v>45596</v>
      </c>
      <c r="I430" s="2" t="s">
        <v>17</v>
      </c>
      <c r="J430" s="2" t="s">
        <v>31</v>
      </c>
    </row>
    <row r="431" spans="2:10" x14ac:dyDescent="0.35">
      <c r="B431" s="2" t="s">
        <v>477</v>
      </c>
      <c r="C431" s="2" t="s">
        <v>19</v>
      </c>
      <c r="D431" s="2" t="s">
        <v>20</v>
      </c>
      <c r="E431">
        <v>1</v>
      </c>
      <c r="F431">
        <v>511784</v>
      </c>
      <c r="G431">
        <v>511784</v>
      </c>
      <c r="H431" s="1">
        <v>45304</v>
      </c>
      <c r="I431" s="2" t="s">
        <v>17</v>
      </c>
      <c r="J431" s="2" t="s">
        <v>48</v>
      </c>
    </row>
    <row r="432" spans="2:10" x14ac:dyDescent="0.35">
      <c r="B432" s="2" t="s">
        <v>478</v>
      </c>
      <c r="C432" s="2" t="s">
        <v>55</v>
      </c>
      <c r="D432" s="2" t="s">
        <v>56</v>
      </c>
      <c r="E432">
        <v>12</v>
      </c>
      <c r="F432">
        <v>203</v>
      </c>
      <c r="G432">
        <v>2436</v>
      </c>
      <c r="H432" s="1">
        <v>45401</v>
      </c>
      <c r="I432" s="2" t="s">
        <v>24</v>
      </c>
      <c r="J432" s="2" t="s">
        <v>31</v>
      </c>
    </row>
    <row r="433" spans="2:10" x14ac:dyDescent="0.35">
      <c r="B433" s="2" t="s">
        <v>479</v>
      </c>
      <c r="C433" s="2" t="s">
        <v>55</v>
      </c>
      <c r="D433" s="2" t="s">
        <v>56</v>
      </c>
      <c r="E433">
        <v>18</v>
      </c>
      <c r="F433">
        <v>3497</v>
      </c>
      <c r="G433">
        <v>62946</v>
      </c>
      <c r="H433" s="1">
        <v>45374</v>
      </c>
      <c r="I433" s="2" t="s">
        <v>33</v>
      </c>
      <c r="J433" s="2" t="s">
        <v>34</v>
      </c>
    </row>
    <row r="434" spans="2:10" x14ac:dyDescent="0.35">
      <c r="B434" s="2" t="s">
        <v>480</v>
      </c>
      <c r="C434" s="2" t="s">
        <v>61</v>
      </c>
      <c r="D434" s="2" t="s">
        <v>30</v>
      </c>
      <c r="E434">
        <v>17</v>
      </c>
      <c r="F434">
        <v>84438</v>
      </c>
      <c r="G434">
        <v>1435446</v>
      </c>
      <c r="H434" s="1">
        <v>45546</v>
      </c>
      <c r="I434" s="2" t="s">
        <v>43</v>
      </c>
      <c r="J434" s="2" t="s">
        <v>31</v>
      </c>
    </row>
    <row r="435" spans="2:10" x14ac:dyDescent="0.35">
      <c r="B435" s="2" t="s">
        <v>481</v>
      </c>
      <c r="C435" s="2" t="s">
        <v>19</v>
      </c>
      <c r="D435" s="2" t="s">
        <v>20</v>
      </c>
      <c r="E435">
        <v>1</v>
      </c>
      <c r="F435">
        <v>861742</v>
      </c>
      <c r="G435">
        <v>861742</v>
      </c>
      <c r="H435" s="1">
        <v>45544</v>
      </c>
      <c r="I435" s="2" t="s">
        <v>12</v>
      </c>
      <c r="J435" s="2" t="s">
        <v>13</v>
      </c>
    </row>
    <row r="436" spans="2:10" x14ac:dyDescent="0.35">
      <c r="B436" s="2" t="s">
        <v>482</v>
      </c>
      <c r="C436" s="2" t="s">
        <v>41</v>
      </c>
      <c r="D436" s="2" t="s">
        <v>11</v>
      </c>
      <c r="E436">
        <v>13</v>
      </c>
      <c r="F436">
        <v>11356</v>
      </c>
      <c r="G436">
        <v>147628</v>
      </c>
      <c r="H436" s="1">
        <v>45514</v>
      </c>
      <c r="I436" s="2" t="s">
        <v>24</v>
      </c>
      <c r="J436" s="2" t="s">
        <v>45</v>
      </c>
    </row>
    <row r="437" spans="2:10" x14ac:dyDescent="0.35">
      <c r="B437" s="2" t="s">
        <v>483</v>
      </c>
      <c r="C437" s="2" t="s">
        <v>15</v>
      </c>
      <c r="D437" s="2" t="s">
        <v>16</v>
      </c>
      <c r="E437">
        <v>3</v>
      </c>
      <c r="F437">
        <v>549</v>
      </c>
      <c r="G437">
        <v>1647</v>
      </c>
      <c r="H437" s="1">
        <v>45428</v>
      </c>
      <c r="I437" s="2" t="s">
        <v>43</v>
      </c>
      <c r="J437" s="2" t="s">
        <v>95</v>
      </c>
    </row>
    <row r="438" spans="2:10" x14ac:dyDescent="0.35">
      <c r="B438" s="2" t="s">
        <v>484</v>
      </c>
      <c r="C438" s="2" t="s">
        <v>19</v>
      </c>
      <c r="D438" s="2" t="s">
        <v>20</v>
      </c>
      <c r="E438">
        <v>1</v>
      </c>
      <c r="F438">
        <v>810462</v>
      </c>
      <c r="G438">
        <v>810462</v>
      </c>
      <c r="H438" s="1">
        <v>45582</v>
      </c>
      <c r="I438" s="2" t="s">
        <v>24</v>
      </c>
      <c r="J438" s="2" t="s">
        <v>36</v>
      </c>
    </row>
    <row r="439" spans="2:10" x14ac:dyDescent="0.35">
      <c r="B439" s="2" t="s">
        <v>485</v>
      </c>
      <c r="C439" s="2" t="s">
        <v>29</v>
      </c>
      <c r="D439" s="2" t="s">
        <v>30</v>
      </c>
      <c r="E439">
        <v>7</v>
      </c>
      <c r="F439">
        <v>26541</v>
      </c>
      <c r="G439">
        <v>185787</v>
      </c>
      <c r="H439" s="1">
        <v>45369</v>
      </c>
      <c r="I439" s="2" t="s">
        <v>33</v>
      </c>
      <c r="J439" s="2" t="s">
        <v>48</v>
      </c>
    </row>
    <row r="440" spans="2:10" x14ac:dyDescent="0.35">
      <c r="B440" s="2" t="s">
        <v>486</v>
      </c>
      <c r="C440" s="2" t="s">
        <v>61</v>
      </c>
      <c r="D440" s="2" t="s">
        <v>30</v>
      </c>
      <c r="E440">
        <v>2</v>
      </c>
      <c r="F440">
        <v>80652</v>
      </c>
      <c r="G440">
        <v>161304</v>
      </c>
      <c r="H440" s="1">
        <v>45428</v>
      </c>
      <c r="I440" s="2" t="s">
        <v>43</v>
      </c>
      <c r="J440" s="2" t="s">
        <v>31</v>
      </c>
    </row>
    <row r="441" spans="2:10" x14ac:dyDescent="0.35">
      <c r="B441" s="2" t="s">
        <v>487</v>
      </c>
      <c r="C441" s="2" t="s">
        <v>61</v>
      </c>
      <c r="D441" s="2" t="s">
        <v>30</v>
      </c>
      <c r="E441">
        <v>9</v>
      </c>
      <c r="F441">
        <v>92654</v>
      </c>
      <c r="G441">
        <v>833886</v>
      </c>
      <c r="H441" s="1">
        <v>45345</v>
      </c>
      <c r="I441" s="2" t="s">
        <v>24</v>
      </c>
      <c r="J441" s="2" t="s">
        <v>97</v>
      </c>
    </row>
    <row r="442" spans="2:10" x14ac:dyDescent="0.35">
      <c r="B442" s="2" t="s">
        <v>488</v>
      </c>
      <c r="C442" s="2" t="s">
        <v>53</v>
      </c>
      <c r="D442" s="2" t="s">
        <v>30</v>
      </c>
      <c r="E442">
        <v>3</v>
      </c>
      <c r="F442">
        <v>24423</v>
      </c>
      <c r="G442">
        <v>73269</v>
      </c>
      <c r="H442" s="1">
        <v>45603</v>
      </c>
      <c r="I442" s="2" t="s">
        <v>43</v>
      </c>
      <c r="J442" s="2" t="s">
        <v>48</v>
      </c>
    </row>
    <row r="443" spans="2:10" x14ac:dyDescent="0.35">
      <c r="B443" s="2" t="s">
        <v>489</v>
      </c>
      <c r="C443" s="2" t="s">
        <v>38</v>
      </c>
      <c r="D443" s="2" t="s">
        <v>23</v>
      </c>
      <c r="E443">
        <v>12</v>
      </c>
      <c r="F443">
        <v>1635</v>
      </c>
      <c r="G443">
        <v>1962</v>
      </c>
      <c r="H443" s="1">
        <v>45501</v>
      </c>
      <c r="I443" s="2" t="s">
        <v>43</v>
      </c>
      <c r="J443" s="2" t="s">
        <v>25</v>
      </c>
    </row>
    <row r="444" spans="2:10" x14ac:dyDescent="0.35">
      <c r="B444" s="2" t="s">
        <v>490</v>
      </c>
      <c r="C444" s="2" t="s">
        <v>61</v>
      </c>
      <c r="D444" s="2" t="s">
        <v>30</v>
      </c>
      <c r="E444">
        <v>17</v>
      </c>
      <c r="F444">
        <v>93477</v>
      </c>
      <c r="G444">
        <v>1589109</v>
      </c>
      <c r="H444" s="1">
        <v>45339</v>
      </c>
      <c r="I444" s="2" t="s">
        <v>24</v>
      </c>
      <c r="J444" s="2" t="s">
        <v>95</v>
      </c>
    </row>
    <row r="445" spans="2:10" x14ac:dyDescent="0.35">
      <c r="B445" s="2" t="s">
        <v>491</v>
      </c>
      <c r="C445" s="2" t="s">
        <v>15</v>
      </c>
      <c r="D445" s="2" t="s">
        <v>16</v>
      </c>
      <c r="E445">
        <v>13</v>
      </c>
      <c r="F445">
        <v>1356</v>
      </c>
      <c r="G445">
        <v>17628</v>
      </c>
      <c r="H445" s="1">
        <v>45295</v>
      </c>
      <c r="I445" s="2" t="s">
        <v>24</v>
      </c>
      <c r="J445" s="2" t="s">
        <v>31</v>
      </c>
    </row>
    <row r="446" spans="2:10" x14ac:dyDescent="0.35">
      <c r="B446" s="2" t="s">
        <v>492</v>
      </c>
      <c r="C446" s="2" t="s">
        <v>29</v>
      </c>
      <c r="D446" s="2" t="s">
        <v>30</v>
      </c>
      <c r="E446">
        <v>6</v>
      </c>
      <c r="F446">
        <v>19452</v>
      </c>
      <c r="G446">
        <v>116712</v>
      </c>
      <c r="H446" s="1">
        <v>45548</v>
      </c>
      <c r="I446" s="2" t="s">
        <v>24</v>
      </c>
      <c r="J446" s="2" t="s">
        <v>50</v>
      </c>
    </row>
    <row r="447" spans="2:10" x14ac:dyDescent="0.35">
      <c r="B447" s="2" t="s">
        <v>493</v>
      </c>
      <c r="C447" s="2" t="s">
        <v>61</v>
      </c>
      <c r="D447" s="2" t="s">
        <v>30</v>
      </c>
      <c r="E447">
        <v>11</v>
      </c>
      <c r="F447">
        <v>96859</v>
      </c>
      <c r="G447">
        <v>1065449</v>
      </c>
      <c r="H447" s="1">
        <v>45634</v>
      </c>
      <c r="I447" s="2" t="s">
        <v>43</v>
      </c>
      <c r="J447" s="2" t="s">
        <v>95</v>
      </c>
    </row>
    <row r="448" spans="2:10" x14ac:dyDescent="0.35">
      <c r="B448" s="2" t="s">
        <v>494</v>
      </c>
      <c r="C448" s="2" t="s">
        <v>10</v>
      </c>
      <c r="D448" s="2" t="s">
        <v>11</v>
      </c>
      <c r="E448">
        <v>13</v>
      </c>
      <c r="F448">
        <v>1546</v>
      </c>
      <c r="G448">
        <v>20098</v>
      </c>
      <c r="H448" s="1">
        <v>45509</v>
      </c>
      <c r="I448" s="2" t="s">
        <v>43</v>
      </c>
      <c r="J448" s="2" t="s">
        <v>50</v>
      </c>
    </row>
    <row r="449" spans="2:10" x14ac:dyDescent="0.35">
      <c r="B449" s="2" t="s">
        <v>495</v>
      </c>
      <c r="C449" s="2" t="s">
        <v>41</v>
      </c>
      <c r="D449" s="2" t="s">
        <v>11</v>
      </c>
      <c r="E449">
        <v>10</v>
      </c>
      <c r="F449">
        <v>1147</v>
      </c>
      <c r="G449">
        <v>11470</v>
      </c>
      <c r="H449" s="1">
        <v>45457</v>
      </c>
      <c r="I449" s="2" t="s">
        <v>17</v>
      </c>
      <c r="J449" s="2" t="s">
        <v>134</v>
      </c>
    </row>
    <row r="450" spans="2:10" x14ac:dyDescent="0.35">
      <c r="B450" s="2" t="s">
        <v>496</v>
      </c>
      <c r="C450" s="2" t="s">
        <v>61</v>
      </c>
      <c r="D450" s="2" t="s">
        <v>30</v>
      </c>
      <c r="E450">
        <v>1</v>
      </c>
      <c r="F450">
        <v>95339</v>
      </c>
      <c r="G450">
        <v>95339</v>
      </c>
      <c r="H450" s="1">
        <v>45632</v>
      </c>
      <c r="I450" s="2" t="s">
        <v>33</v>
      </c>
      <c r="J450" s="2" t="s">
        <v>84</v>
      </c>
    </row>
    <row r="451" spans="2:10" x14ac:dyDescent="0.35">
      <c r="B451" s="2" t="s">
        <v>497</v>
      </c>
      <c r="C451" s="2" t="s">
        <v>19</v>
      </c>
      <c r="D451" s="2" t="s">
        <v>20</v>
      </c>
      <c r="E451">
        <v>1</v>
      </c>
      <c r="F451">
        <v>673819</v>
      </c>
      <c r="G451">
        <v>673819</v>
      </c>
      <c r="H451" s="1">
        <v>45583</v>
      </c>
      <c r="I451" s="2" t="s">
        <v>33</v>
      </c>
      <c r="J451" s="2" t="s">
        <v>13</v>
      </c>
    </row>
    <row r="452" spans="2:10" x14ac:dyDescent="0.35">
      <c r="B452" s="2" t="s">
        <v>498</v>
      </c>
      <c r="C452" s="2" t="s">
        <v>22</v>
      </c>
      <c r="D452" s="2" t="s">
        <v>23</v>
      </c>
      <c r="E452">
        <v>7</v>
      </c>
      <c r="F452">
        <v>296</v>
      </c>
      <c r="G452">
        <v>2072</v>
      </c>
      <c r="H452" s="1">
        <v>45436</v>
      </c>
      <c r="I452" s="2" t="s">
        <v>12</v>
      </c>
      <c r="J452" s="2" t="s">
        <v>59</v>
      </c>
    </row>
    <row r="453" spans="2:10" x14ac:dyDescent="0.35">
      <c r="B453" s="2" t="s">
        <v>499</v>
      </c>
      <c r="C453" s="2" t="s">
        <v>55</v>
      </c>
      <c r="D453" s="2" t="s">
        <v>56</v>
      </c>
      <c r="E453">
        <v>2</v>
      </c>
      <c r="F453">
        <v>390</v>
      </c>
      <c r="G453">
        <v>780</v>
      </c>
      <c r="H453" s="1">
        <v>45363</v>
      </c>
      <c r="I453" s="2" t="s">
        <v>17</v>
      </c>
      <c r="J453" s="2" t="s">
        <v>86</v>
      </c>
    </row>
    <row r="454" spans="2:10" x14ac:dyDescent="0.35">
      <c r="B454" s="2" t="s">
        <v>500</v>
      </c>
      <c r="C454" s="2" t="s">
        <v>19</v>
      </c>
      <c r="D454" s="2" t="s">
        <v>20</v>
      </c>
      <c r="E454">
        <v>1</v>
      </c>
      <c r="F454">
        <v>504701</v>
      </c>
      <c r="G454">
        <v>504701</v>
      </c>
      <c r="H454" s="1">
        <v>45556</v>
      </c>
      <c r="I454" s="2" t="s">
        <v>33</v>
      </c>
      <c r="J454" s="2" t="s">
        <v>50</v>
      </c>
    </row>
    <row r="455" spans="2:10" x14ac:dyDescent="0.35">
      <c r="B455" s="2" t="s">
        <v>501</v>
      </c>
      <c r="C455" s="2" t="s">
        <v>55</v>
      </c>
      <c r="D455" s="2" t="s">
        <v>56</v>
      </c>
      <c r="E455">
        <v>6</v>
      </c>
      <c r="F455">
        <v>2986</v>
      </c>
      <c r="G455">
        <v>17916</v>
      </c>
      <c r="H455" s="1">
        <v>45328</v>
      </c>
      <c r="I455" s="2" t="s">
        <v>33</v>
      </c>
      <c r="J455" s="2" t="s">
        <v>57</v>
      </c>
    </row>
    <row r="456" spans="2:10" x14ac:dyDescent="0.35">
      <c r="B456" s="2" t="s">
        <v>502</v>
      </c>
      <c r="C456" s="2" t="s">
        <v>29</v>
      </c>
      <c r="D456" s="2" t="s">
        <v>30</v>
      </c>
      <c r="E456">
        <v>18</v>
      </c>
      <c r="F456">
        <v>15201</v>
      </c>
      <c r="G456">
        <v>273618</v>
      </c>
      <c r="H456" s="1">
        <v>45373</v>
      </c>
      <c r="I456" s="2" t="s">
        <v>43</v>
      </c>
      <c r="J456" s="2" t="s">
        <v>95</v>
      </c>
    </row>
    <row r="457" spans="2:10" x14ac:dyDescent="0.35">
      <c r="B457" s="2" t="s">
        <v>503</v>
      </c>
      <c r="C457" s="2" t="s">
        <v>15</v>
      </c>
      <c r="D457" s="2" t="s">
        <v>16</v>
      </c>
      <c r="E457">
        <v>6</v>
      </c>
      <c r="F457">
        <v>86</v>
      </c>
      <c r="G457">
        <v>516</v>
      </c>
      <c r="H457" s="1">
        <v>45538</v>
      </c>
      <c r="I457" s="2" t="s">
        <v>24</v>
      </c>
      <c r="J457" s="2" t="s">
        <v>97</v>
      </c>
    </row>
    <row r="458" spans="2:10" x14ac:dyDescent="0.35">
      <c r="B458" s="2" t="s">
        <v>504</v>
      </c>
      <c r="C458" s="2" t="s">
        <v>15</v>
      </c>
      <c r="D458" s="2" t="s">
        <v>16</v>
      </c>
      <c r="E458">
        <v>16</v>
      </c>
      <c r="F458">
        <v>535</v>
      </c>
      <c r="G458">
        <v>856</v>
      </c>
      <c r="H458" s="1">
        <v>45504</v>
      </c>
      <c r="I458" s="2" t="s">
        <v>17</v>
      </c>
      <c r="J458" s="2" t="s">
        <v>25</v>
      </c>
    </row>
    <row r="459" spans="2:10" x14ac:dyDescent="0.35">
      <c r="B459" s="2" t="s">
        <v>505</v>
      </c>
      <c r="C459" s="2" t="s">
        <v>55</v>
      </c>
      <c r="D459" s="2" t="s">
        <v>56</v>
      </c>
      <c r="E459">
        <v>4</v>
      </c>
      <c r="F459">
        <v>3047</v>
      </c>
      <c r="G459">
        <v>12188</v>
      </c>
      <c r="H459" s="1">
        <v>45392</v>
      </c>
      <c r="I459" s="2" t="s">
        <v>17</v>
      </c>
      <c r="J459" s="2" t="s">
        <v>34</v>
      </c>
    </row>
    <row r="460" spans="2:10" x14ac:dyDescent="0.35">
      <c r="B460" s="2" t="s">
        <v>506</v>
      </c>
      <c r="C460" s="2" t="s">
        <v>55</v>
      </c>
      <c r="D460" s="2" t="s">
        <v>56</v>
      </c>
      <c r="E460">
        <v>13</v>
      </c>
      <c r="F460">
        <v>4231</v>
      </c>
      <c r="G460">
        <v>55003</v>
      </c>
      <c r="H460" s="1">
        <v>45485</v>
      </c>
      <c r="I460" s="2" t="s">
        <v>24</v>
      </c>
      <c r="J460" s="2" t="s">
        <v>27</v>
      </c>
    </row>
    <row r="461" spans="2:10" x14ac:dyDescent="0.35">
      <c r="B461" s="2" t="s">
        <v>507</v>
      </c>
      <c r="C461" s="2" t="s">
        <v>53</v>
      </c>
      <c r="D461" s="2" t="s">
        <v>30</v>
      </c>
      <c r="E461">
        <v>18</v>
      </c>
      <c r="F461">
        <v>2558</v>
      </c>
      <c r="G461">
        <v>46044</v>
      </c>
      <c r="H461" s="1">
        <v>45574</v>
      </c>
      <c r="I461" s="2" t="s">
        <v>12</v>
      </c>
      <c r="J461" s="2" t="s">
        <v>36</v>
      </c>
    </row>
    <row r="462" spans="2:10" x14ac:dyDescent="0.35">
      <c r="B462" s="2" t="s">
        <v>508</v>
      </c>
      <c r="C462" s="2" t="s">
        <v>29</v>
      </c>
      <c r="D462" s="2" t="s">
        <v>30</v>
      </c>
      <c r="E462">
        <v>20</v>
      </c>
      <c r="F462">
        <v>20573</v>
      </c>
      <c r="G462">
        <v>41146</v>
      </c>
      <c r="H462" s="1">
        <v>45447</v>
      </c>
      <c r="I462" s="2" t="s">
        <v>24</v>
      </c>
      <c r="J462" s="2" t="s">
        <v>59</v>
      </c>
    </row>
    <row r="463" spans="2:10" x14ac:dyDescent="0.35">
      <c r="B463" s="2" t="s">
        <v>509</v>
      </c>
      <c r="C463" s="2" t="s">
        <v>19</v>
      </c>
      <c r="D463" s="2" t="s">
        <v>20</v>
      </c>
      <c r="E463">
        <v>1</v>
      </c>
      <c r="F463">
        <v>668533</v>
      </c>
      <c r="G463">
        <v>668533</v>
      </c>
      <c r="H463" s="1">
        <v>45405</v>
      </c>
      <c r="I463" s="2" t="s">
        <v>12</v>
      </c>
      <c r="J463" s="2" t="s">
        <v>134</v>
      </c>
    </row>
    <row r="464" spans="2:10" x14ac:dyDescent="0.35">
      <c r="B464" s="2" t="s">
        <v>510</v>
      </c>
      <c r="C464" s="2" t="s">
        <v>53</v>
      </c>
      <c r="D464" s="2" t="s">
        <v>30</v>
      </c>
      <c r="E464">
        <v>11</v>
      </c>
      <c r="F464">
        <v>2825</v>
      </c>
      <c r="G464">
        <v>31075</v>
      </c>
      <c r="H464" s="1">
        <v>45384</v>
      </c>
      <c r="I464" s="2" t="s">
        <v>17</v>
      </c>
      <c r="J464" s="2" t="s">
        <v>97</v>
      </c>
    </row>
    <row r="465" spans="2:10" x14ac:dyDescent="0.35">
      <c r="B465" s="2" t="s">
        <v>511</v>
      </c>
      <c r="C465" s="2" t="s">
        <v>38</v>
      </c>
      <c r="D465" s="2" t="s">
        <v>23</v>
      </c>
      <c r="E465">
        <v>14</v>
      </c>
      <c r="F465">
        <v>1102</v>
      </c>
      <c r="G465">
        <v>15428</v>
      </c>
      <c r="H465" s="1">
        <v>45346</v>
      </c>
      <c r="I465" s="2" t="s">
        <v>12</v>
      </c>
      <c r="J465" s="2" t="s">
        <v>84</v>
      </c>
    </row>
    <row r="466" spans="2:10" x14ac:dyDescent="0.35">
      <c r="B466" s="2" t="s">
        <v>512</v>
      </c>
      <c r="C466" s="2" t="s">
        <v>55</v>
      </c>
      <c r="D466" s="2" t="s">
        <v>56</v>
      </c>
      <c r="E466">
        <v>17</v>
      </c>
      <c r="F466">
        <v>3466</v>
      </c>
      <c r="G466">
        <v>58922</v>
      </c>
      <c r="H466" s="1">
        <v>45304</v>
      </c>
      <c r="I466" s="2" t="s">
        <v>12</v>
      </c>
      <c r="J466" s="2" t="s">
        <v>48</v>
      </c>
    </row>
    <row r="467" spans="2:10" x14ac:dyDescent="0.35">
      <c r="B467" s="2" t="s">
        <v>513</v>
      </c>
      <c r="C467" s="2" t="s">
        <v>22</v>
      </c>
      <c r="D467" s="2" t="s">
        <v>23</v>
      </c>
      <c r="E467">
        <v>7</v>
      </c>
      <c r="F467">
        <v>142</v>
      </c>
      <c r="G467">
        <v>994</v>
      </c>
      <c r="H467" s="1">
        <v>45447</v>
      </c>
      <c r="I467" s="2" t="s">
        <v>17</v>
      </c>
      <c r="J467" s="2" t="s">
        <v>80</v>
      </c>
    </row>
    <row r="468" spans="2:10" x14ac:dyDescent="0.35">
      <c r="B468" s="2" t="s">
        <v>514</v>
      </c>
      <c r="C468" s="2" t="s">
        <v>22</v>
      </c>
      <c r="D468" s="2" t="s">
        <v>23</v>
      </c>
      <c r="E468">
        <v>3</v>
      </c>
      <c r="F468">
        <v>298</v>
      </c>
      <c r="G468">
        <v>894</v>
      </c>
      <c r="H468" s="1">
        <v>45311</v>
      </c>
      <c r="I468" s="2" t="s">
        <v>12</v>
      </c>
      <c r="J468" s="2" t="s">
        <v>39</v>
      </c>
    </row>
    <row r="469" spans="2:10" x14ac:dyDescent="0.35">
      <c r="B469" s="2" t="s">
        <v>515</v>
      </c>
      <c r="C469" s="2" t="s">
        <v>15</v>
      </c>
      <c r="D469" s="2" t="s">
        <v>16</v>
      </c>
      <c r="E469">
        <v>10</v>
      </c>
      <c r="F469">
        <v>952</v>
      </c>
      <c r="G469">
        <v>952</v>
      </c>
      <c r="H469" s="1">
        <v>45491</v>
      </c>
      <c r="I469" s="2" t="s">
        <v>12</v>
      </c>
      <c r="J469" s="2" t="s">
        <v>59</v>
      </c>
    </row>
    <row r="470" spans="2:10" x14ac:dyDescent="0.35">
      <c r="B470" s="2" t="s">
        <v>516</v>
      </c>
      <c r="C470" s="2" t="s">
        <v>10</v>
      </c>
      <c r="D470" s="2" t="s">
        <v>11</v>
      </c>
      <c r="E470">
        <v>7</v>
      </c>
      <c r="F470">
        <v>18508</v>
      </c>
      <c r="G470">
        <v>129556</v>
      </c>
      <c r="H470" s="1">
        <v>45302</v>
      </c>
      <c r="I470" s="2" t="s">
        <v>43</v>
      </c>
      <c r="J470" s="2" t="s">
        <v>80</v>
      </c>
    </row>
    <row r="471" spans="2:10" x14ac:dyDescent="0.35">
      <c r="B471" s="2" t="s">
        <v>517</v>
      </c>
      <c r="C471" s="2" t="s">
        <v>38</v>
      </c>
      <c r="D471" s="2" t="s">
        <v>23</v>
      </c>
      <c r="E471">
        <v>6</v>
      </c>
      <c r="F471">
        <v>1763</v>
      </c>
      <c r="G471">
        <v>10578</v>
      </c>
      <c r="H471" s="1">
        <v>45455</v>
      </c>
      <c r="I471" s="2" t="s">
        <v>17</v>
      </c>
      <c r="J471" s="2" t="s">
        <v>34</v>
      </c>
    </row>
    <row r="472" spans="2:10" x14ac:dyDescent="0.35">
      <c r="B472" s="2" t="s">
        <v>518</v>
      </c>
      <c r="C472" s="2" t="s">
        <v>53</v>
      </c>
      <c r="D472" s="2" t="s">
        <v>30</v>
      </c>
      <c r="E472">
        <v>17</v>
      </c>
      <c r="F472">
        <v>20233</v>
      </c>
      <c r="G472">
        <v>343961</v>
      </c>
      <c r="H472" s="1">
        <v>45330</v>
      </c>
      <c r="I472" s="2" t="s">
        <v>43</v>
      </c>
      <c r="J472" s="2" t="s">
        <v>45</v>
      </c>
    </row>
    <row r="473" spans="2:10" x14ac:dyDescent="0.35">
      <c r="B473" s="2" t="s">
        <v>519</v>
      </c>
      <c r="C473" s="2" t="s">
        <v>10</v>
      </c>
      <c r="D473" s="2" t="s">
        <v>11</v>
      </c>
      <c r="E473">
        <v>11</v>
      </c>
      <c r="F473">
        <v>15066</v>
      </c>
      <c r="G473">
        <v>165726</v>
      </c>
      <c r="H473" s="1">
        <v>45358</v>
      </c>
      <c r="I473" s="2" t="s">
        <v>33</v>
      </c>
      <c r="J473" s="2" t="s">
        <v>80</v>
      </c>
    </row>
    <row r="474" spans="2:10" x14ac:dyDescent="0.35">
      <c r="B474" s="2" t="s">
        <v>520</v>
      </c>
      <c r="C474" s="2" t="s">
        <v>15</v>
      </c>
      <c r="D474" s="2" t="s">
        <v>16</v>
      </c>
      <c r="E474">
        <v>10</v>
      </c>
      <c r="F474">
        <v>1435</v>
      </c>
      <c r="G474">
        <v>1435</v>
      </c>
      <c r="H474" s="1">
        <v>45512</v>
      </c>
      <c r="I474" s="2" t="s">
        <v>33</v>
      </c>
      <c r="J474" s="2" t="s">
        <v>48</v>
      </c>
    </row>
    <row r="475" spans="2:10" x14ac:dyDescent="0.35">
      <c r="B475" s="2" t="s">
        <v>521</v>
      </c>
      <c r="C475" s="2" t="s">
        <v>38</v>
      </c>
      <c r="D475" s="2" t="s">
        <v>23</v>
      </c>
      <c r="E475">
        <v>15</v>
      </c>
      <c r="F475">
        <v>1814</v>
      </c>
      <c r="G475">
        <v>2721</v>
      </c>
      <c r="H475" s="1">
        <v>45493</v>
      </c>
      <c r="I475" s="2" t="s">
        <v>17</v>
      </c>
      <c r="J475" s="2" t="s">
        <v>34</v>
      </c>
    </row>
    <row r="476" spans="2:10" x14ac:dyDescent="0.35">
      <c r="B476" s="2" t="s">
        <v>522</v>
      </c>
      <c r="C476" s="2" t="s">
        <v>61</v>
      </c>
      <c r="D476" s="2" t="s">
        <v>30</v>
      </c>
      <c r="E476">
        <v>18</v>
      </c>
      <c r="F476">
        <v>84057</v>
      </c>
      <c r="G476">
        <v>1513026</v>
      </c>
      <c r="H476" s="1">
        <v>45356</v>
      </c>
      <c r="I476" s="2" t="s">
        <v>12</v>
      </c>
      <c r="J476" s="2" t="s">
        <v>97</v>
      </c>
    </row>
    <row r="477" spans="2:10" x14ac:dyDescent="0.35">
      <c r="B477" s="2" t="s">
        <v>523</v>
      </c>
      <c r="C477" s="2" t="s">
        <v>19</v>
      </c>
      <c r="D477" s="2" t="s">
        <v>20</v>
      </c>
      <c r="E477">
        <v>1</v>
      </c>
      <c r="F477">
        <v>515172</v>
      </c>
      <c r="G477">
        <v>515172</v>
      </c>
      <c r="H477" s="1">
        <v>45502</v>
      </c>
      <c r="I477" s="2" t="s">
        <v>12</v>
      </c>
      <c r="J477" s="2" t="s">
        <v>65</v>
      </c>
    </row>
    <row r="478" spans="2:10" x14ac:dyDescent="0.35">
      <c r="B478" s="2" t="s">
        <v>524</v>
      </c>
      <c r="C478" s="2" t="s">
        <v>22</v>
      </c>
      <c r="D478" s="2" t="s">
        <v>23</v>
      </c>
      <c r="E478">
        <v>16</v>
      </c>
      <c r="F478">
        <v>181</v>
      </c>
      <c r="G478">
        <v>2896</v>
      </c>
      <c r="H478" s="1">
        <v>45332</v>
      </c>
      <c r="I478" s="2" t="s">
        <v>12</v>
      </c>
      <c r="J478" s="2" t="s">
        <v>31</v>
      </c>
    </row>
    <row r="479" spans="2:10" x14ac:dyDescent="0.35">
      <c r="B479" s="2" t="s">
        <v>525</v>
      </c>
      <c r="C479" s="2" t="s">
        <v>38</v>
      </c>
      <c r="D479" s="2" t="s">
        <v>23</v>
      </c>
      <c r="E479">
        <v>16</v>
      </c>
      <c r="F479">
        <v>1312</v>
      </c>
      <c r="G479">
        <v>20992</v>
      </c>
      <c r="H479" s="1">
        <v>45549</v>
      </c>
      <c r="I479" s="2" t="s">
        <v>17</v>
      </c>
      <c r="J479" s="2" t="s">
        <v>34</v>
      </c>
    </row>
    <row r="480" spans="2:10" x14ac:dyDescent="0.35">
      <c r="B480" s="2" t="s">
        <v>526</v>
      </c>
      <c r="C480" s="2" t="s">
        <v>19</v>
      </c>
      <c r="D480" s="2" t="s">
        <v>20</v>
      </c>
      <c r="E480">
        <v>1</v>
      </c>
      <c r="F480">
        <v>515992</v>
      </c>
      <c r="G480">
        <v>515992</v>
      </c>
      <c r="H480" s="1">
        <v>45576</v>
      </c>
      <c r="I480" s="2" t="s">
        <v>12</v>
      </c>
      <c r="J480" s="2" t="s">
        <v>50</v>
      </c>
    </row>
    <row r="481" spans="2:10" x14ac:dyDescent="0.35">
      <c r="B481" s="2" t="s">
        <v>527</v>
      </c>
      <c r="C481" s="2" t="s">
        <v>55</v>
      </c>
      <c r="D481" s="2" t="s">
        <v>56</v>
      </c>
      <c r="E481">
        <v>15</v>
      </c>
      <c r="F481">
        <v>2166</v>
      </c>
      <c r="G481">
        <v>3249</v>
      </c>
      <c r="H481" s="1">
        <v>45640</v>
      </c>
      <c r="I481" s="2" t="s">
        <v>33</v>
      </c>
      <c r="J481" s="2" t="s">
        <v>34</v>
      </c>
    </row>
    <row r="482" spans="2:10" x14ac:dyDescent="0.35">
      <c r="B482" s="2" t="s">
        <v>528</v>
      </c>
      <c r="C482" s="2" t="s">
        <v>38</v>
      </c>
      <c r="D482" s="2" t="s">
        <v>23</v>
      </c>
      <c r="E482">
        <v>6</v>
      </c>
      <c r="F482">
        <v>1609</v>
      </c>
      <c r="G482">
        <v>9654</v>
      </c>
      <c r="H482" s="1">
        <v>45514</v>
      </c>
      <c r="I482" s="2" t="s">
        <v>33</v>
      </c>
      <c r="J482" s="2" t="s">
        <v>39</v>
      </c>
    </row>
    <row r="483" spans="2:10" x14ac:dyDescent="0.35">
      <c r="B483" s="2" t="s">
        <v>529</v>
      </c>
      <c r="C483" s="2" t="s">
        <v>15</v>
      </c>
      <c r="D483" s="2" t="s">
        <v>16</v>
      </c>
      <c r="E483">
        <v>2</v>
      </c>
      <c r="F483">
        <v>1414</v>
      </c>
      <c r="G483">
        <v>2828</v>
      </c>
      <c r="H483" s="1">
        <v>45652</v>
      </c>
      <c r="I483" s="2" t="s">
        <v>43</v>
      </c>
      <c r="J483" s="2" t="s">
        <v>27</v>
      </c>
    </row>
    <row r="484" spans="2:10" x14ac:dyDescent="0.35">
      <c r="B484" s="2" t="s">
        <v>530</v>
      </c>
      <c r="C484" s="2" t="s">
        <v>38</v>
      </c>
      <c r="D484" s="2" t="s">
        <v>23</v>
      </c>
      <c r="E484">
        <v>6</v>
      </c>
      <c r="F484">
        <v>1206</v>
      </c>
      <c r="G484">
        <v>7236</v>
      </c>
      <c r="H484" s="1">
        <v>45501</v>
      </c>
      <c r="I484" s="2" t="s">
        <v>17</v>
      </c>
      <c r="J484" s="2" t="s">
        <v>45</v>
      </c>
    </row>
    <row r="485" spans="2:10" x14ac:dyDescent="0.35">
      <c r="B485" s="2" t="s">
        <v>531</v>
      </c>
      <c r="C485" s="2" t="s">
        <v>15</v>
      </c>
      <c r="D485" s="2" t="s">
        <v>16</v>
      </c>
      <c r="E485">
        <v>6</v>
      </c>
      <c r="F485">
        <v>70</v>
      </c>
      <c r="G485">
        <v>420</v>
      </c>
      <c r="H485" s="1">
        <v>45424</v>
      </c>
      <c r="I485" s="2" t="s">
        <v>12</v>
      </c>
      <c r="J485" s="2" t="s">
        <v>70</v>
      </c>
    </row>
    <row r="486" spans="2:10" x14ac:dyDescent="0.35">
      <c r="B486" s="2" t="s">
        <v>532</v>
      </c>
      <c r="C486" s="2" t="s">
        <v>29</v>
      </c>
      <c r="D486" s="2" t="s">
        <v>30</v>
      </c>
      <c r="E486">
        <v>16</v>
      </c>
      <c r="F486">
        <v>2602</v>
      </c>
      <c r="G486">
        <v>41632</v>
      </c>
      <c r="H486" s="1">
        <v>45537</v>
      </c>
      <c r="I486" s="2" t="s">
        <v>12</v>
      </c>
      <c r="J486" s="2" t="s">
        <v>45</v>
      </c>
    </row>
    <row r="487" spans="2:10" x14ac:dyDescent="0.35">
      <c r="B487" s="2" t="s">
        <v>533</v>
      </c>
      <c r="C487" s="2" t="s">
        <v>53</v>
      </c>
      <c r="D487" s="2" t="s">
        <v>30</v>
      </c>
      <c r="E487">
        <v>7</v>
      </c>
      <c r="F487">
        <v>34806</v>
      </c>
      <c r="G487">
        <v>243642</v>
      </c>
      <c r="H487" s="1">
        <v>45407</v>
      </c>
      <c r="I487" s="2" t="s">
        <v>43</v>
      </c>
      <c r="J487" s="2" t="s">
        <v>34</v>
      </c>
    </row>
    <row r="488" spans="2:10" x14ac:dyDescent="0.35">
      <c r="B488" s="2" t="s">
        <v>534</v>
      </c>
      <c r="C488" s="2" t="s">
        <v>38</v>
      </c>
      <c r="D488" s="2" t="s">
        <v>23</v>
      </c>
      <c r="E488">
        <v>10</v>
      </c>
      <c r="F488">
        <v>1807</v>
      </c>
      <c r="G488">
        <v>1807</v>
      </c>
      <c r="H488" s="1">
        <v>45402</v>
      </c>
      <c r="I488" s="2" t="s">
        <v>12</v>
      </c>
      <c r="J488" s="2" t="s">
        <v>57</v>
      </c>
    </row>
    <row r="489" spans="2:10" x14ac:dyDescent="0.35">
      <c r="B489" s="2" t="s">
        <v>535</v>
      </c>
      <c r="C489" s="2" t="s">
        <v>29</v>
      </c>
      <c r="D489" s="2" t="s">
        <v>30</v>
      </c>
      <c r="E489">
        <v>16</v>
      </c>
      <c r="F489">
        <v>20015</v>
      </c>
      <c r="G489">
        <v>32024</v>
      </c>
      <c r="H489" s="1">
        <v>45578</v>
      </c>
      <c r="I489" s="2" t="s">
        <v>33</v>
      </c>
      <c r="J489" s="2" t="s">
        <v>65</v>
      </c>
    </row>
    <row r="490" spans="2:10" x14ac:dyDescent="0.35">
      <c r="B490" s="2" t="s">
        <v>536</v>
      </c>
      <c r="C490" s="2" t="s">
        <v>55</v>
      </c>
      <c r="D490" s="2" t="s">
        <v>56</v>
      </c>
      <c r="E490">
        <v>19</v>
      </c>
      <c r="F490">
        <v>2744</v>
      </c>
      <c r="G490">
        <v>52136</v>
      </c>
      <c r="H490" s="1">
        <v>45459</v>
      </c>
      <c r="I490" s="2" t="s">
        <v>43</v>
      </c>
      <c r="J490" s="2" t="s">
        <v>80</v>
      </c>
    </row>
    <row r="491" spans="2:10" x14ac:dyDescent="0.35">
      <c r="B491" s="2" t="s">
        <v>537</v>
      </c>
      <c r="C491" s="2" t="s">
        <v>22</v>
      </c>
      <c r="D491" s="2" t="s">
        <v>23</v>
      </c>
      <c r="E491">
        <v>12</v>
      </c>
      <c r="F491">
        <v>124</v>
      </c>
      <c r="G491">
        <v>1488</v>
      </c>
      <c r="H491" s="1">
        <v>45531</v>
      </c>
      <c r="I491" s="2" t="s">
        <v>33</v>
      </c>
      <c r="J491" s="2" t="s">
        <v>59</v>
      </c>
    </row>
    <row r="492" spans="2:10" x14ac:dyDescent="0.35">
      <c r="B492" s="2" t="s">
        <v>538</v>
      </c>
      <c r="C492" s="2" t="s">
        <v>61</v>
      </c>
      <c r="D492" s="2" t="s">
        <v>30</v>
      </c>
      <c r="E492">
        <v>18</v>
      </c>
      <c r="F492">
        <v>96994</v>
      </c>
      <c r="G492">
        <v>1745892</v>
      </c>
      <c r="H492" s="1">
        <v>45449</v>
      </c>
      <c r="I492" s="2" t="s">
        <v>12</v>
      </c>
      <c r="J492" s="2" t="s">
        <v>45</v>
      </c>
    </row>
    <row r="493" spans="2:10" x14ac:dyDescent="0.35">
      <c r="B493" s="2" t="s">
        <v>539</v>
      </c>
      <c r="C493" s="2" t="s">
        <v>61</v>
      </c>
      <c r="D493" s="2" t="s">
        <v>30</v>
      </c>
      <c r="E493">
        <v>15</v>
      </c>
      <c r="F493">
        <v>83699</v>
      </c>
      <c r="G493">
        <v>1255485</v>
      </c>
      <c r="H493" s="1">
        <v>45644</v>
      </c>
      <c r="I493" s="2" t="s">
        <v>17</v>
      </c>
      <c r="J493" s="2" t="s">
        <v>45</v>
      </c>
    </row>
    <row r="494" spans="2:10" x14ac:dyDescent="0.35">
      <c r="B494" s="2" t="s">
        <v>540</v>
      </c>
      <c r="C494" s="2" t="s">
        <v>38</v>
      </c>
      <c r="D494" s="2" t="s">
        <v>23</v>
      </c>
      <c r="E494">
        <v>9</v>
      </c>
      <c r="F494">
        <v>1357</v>
      </c>
      <c r="G494">
        <v>12213</v>
      </c>
      <c r="H494" s="1">
        <v>45440</v>
      </c>
      <c r="I494" s="2" t="s">
        <v>43</v>
      </c>
      <c r="J494" s="2" t="s">
        <v>65</v>
      </c>
    </row>
    <row r="495" spans="2:10" x14ac:dyDescent="0.35">
      <c r="B495" s="2" t="s">
        <v>541</v>
      </c>
      <c r="C495" s="2" t="s">
        <v>55</v>
      </c>
      <c r="D495" s="2" t="s">
        <v>56</v>
      </c>
      <c r="E495">
        <v>5</v>
      </c>
      <c r="F495">
        <v>2067</v>
      </c>
      <c r="G495">
        <v>10335</v>
      </c>
      <c r="H495" s="1">
        <v>45400</v>
      </c>
      <c r="I495" s="2" t="s">
        <v>43</v>
      </c>
      <c r="J495" s="2" t="s">
        <v>36</v>
      </c>
    </row>
    <row r="496" spans="2:10" x14ac:dyDescent="0.35">
      <c r="B496" s="2" t="s">
        <v>542</v>
      </c>
      <c r="C496" s="2" t="s">
        <v>55</v>
      </c>
      <c r="D496" s="2" t="s">
        <v>56</v>
      </c>
      <c r="E496">
        <v>16</v>
      </c>
      <c r="F496">
        <v>2897</v>
      </c>
      <c r="G496">
        <v>46352</v>
      </c>
      <c r="H496" s="1">
        <v>45605</v>
      </c>
      <c r="I496" s="2" t="s">
        <v>33</v>
      </c>
      <c r="J496" s="2" t="s">
        <v>80</v>
      </c>
    </row>
    <row r="497" spans="2:10" x14ac:dyDescent="0.35">
      <c r="B497" s="2" t="s">
        <v>543</v>
      </c>
      <c r="C497" s="2" t="s">
        <v>55</v>
      </c>
      <c r="D497" s="2" t="s">
        <v>56</v>
      </c>
      <c r="E497">
        <v>12</v>
      </c>
      <c r="F497">
        <v>2355</v>
      </c>
      <c r="G497">
        <v>2826</v>
      </c>
      <c r="H497" s="1">
        <v>45431</v>
      </c>
      <c r="I497" s="2" t="s">
        <v>17</v>
      </c>
      <c r="J497" s="2" t="s">
        <v>57</v>
      </c>
    </row>
    <row r="498" spans="2:10" x14ac:dyDescent="0.35">
      <c r="B498" s="2" t="s">
        <v>544</v>
      </c>
      <c r="C498" s="2" t="s">
        <v>38</v>
      </c>
      <c r="D498" s="2" t="s">
        <v>23</v>
      </c>
      <c r="E498">
        <v>4</v>
      </c>
      <c r="F498">
        <v>1567</v>
      </c>
      <c r="G498">
        <v>6268</v>
      </c>
      <c r="H498" s="1">
        <v>45476</v>
      </c>
      <c r="I498" s="2" t="s">
        <v>17</v>
      </c>
      <c r="J498" s="2" t="s">
        <v>34</v>
      </c>
    </row>
    <row r="499" spans="2:10" x14ac:dyDescent="0.35">
      <c r="B499" s="2" t="s">
        <v>545</v>
      </c>
      <c r="C499" s="2" t="s">
        <v>53</v>
      </c>
      <c r="D499" s="2" t="s">
        <v>30</v>
      </c>
      <c r="E499">
        <v>4</v>
      </c>
      <c r="F499">
        <v>31034</v>
      </c>
      <c r="G499">
        <v>124136</v>
      </c>
      <c r="H499" s="1">
        <v>45300</v>
      </c>
      <c r="I499" s="2" t="s">
        <v>43</v>
      </c>
      <c r="J499" s="2" t="s">
        <v>65</v>
      </c>
    </row>
    <row r="500" spans="2:10" x14ac:dyDescent="0.35">
      <c r="B500" s="2" t="s">
        <v>546</v>
      </c>
      <c r="C500" s="2" t="s">
        <v>41</v>
      </c>
      <c r="D500" s="2" t="s">
        <v>11</v>
      </c>
      <c r="E500">
        <v>19</v>
      </c>
      <c r="F500">
        <v>10412</v>
      </c>
      <c r="G500">
        <v>197828</v>
      </c>
      <c r="H500" s="1">
        <v>45524</v>
      </c>
      <c r="I500" s="2" t="s">
        <v>43</v>
      </c>
      <c r="J500" s="2" t="s">
        <v>95</v>
      </c>
    </row>
    <row r="501" spans="2:10" x14ac:dyDescent="0.35">
      <c r="B501" s="2" t="s">
        <v>547</v>
      </c>
      <c r="C501" s="2" t="s">
        <v>61</v>
      </c>
      <c r="D501" s="2" t="s">
        <v>30</v>
      </c>
      <c r="E501">
        <v>5</v>
      </c>
      <c r="F501">
        <v>91908</v>
      </c>
      <c r="G501">
        <v>45954</v>
      </c>
      <c r="H501" s="1">
        <v>45519</v>
      </c>
      <c r="I501" s="2" t="s">
        <v>33</v>
      </c>
      <c r="J501" s="2" t="s">
        <v>45</v>
      </c>
    </row>
    <row r="502" spans="2:10" x14ac:dyDescent="0.35">
      <c r="B502" s="2" t="s">
        <v>548</v>
      </c>
      <c r="C502" s="2" t="s">
        <v>22</v>
      </c>
      <c r="D502" s="2" t="s">
        <v>23</v>
      </c>
      <c r="E502">
        <v>3</v>
      </c>
      <c r="F502">
        <v>151</v>
      </c>
      <c r="G502">
        <v>453</v>
      </c>
      <c r="H502" s="1">
        <v>45424</v>
      </c>
      <c r="I502" s="2" t="s">
        <v>43</v>
      </c>
      <c r="J502" s="2" t="s">
        <v>84</v>
      </c>
    </row>
    <row r="503" spans="2:10" x14ac:dyDescent="0.35">
      <c r="B503" s="2" t="s">
        <v>549</v>
      </c>
      <c r="C503" s="2" t="s">
        <v>41</v>
      </c>
      <c r="D503" s="2" t="s">
        <v>11</v>
      </c>
      <c r="E503">
        <v>17</v>
      </c>
      <c r="F503">
        <v>16201</v>
      </c>
      <c r="G503">
        <v>275417</v>
      </c>
      <c r="H503" s="1">
        <v>45365</v>
      </c>
      <c r="I503" s="2" t="s">
        <v>24</v>
      </c>
      <c r="J503" s="2" t="s">
        <v>70</v>
      </c>
    </row>
    <row r="504" spans="2:10" x14ac:dyDescent="0.35">
      <c r="B504" s="2" t="s">
        <v>550</v>
      </c>
      <c r="C504" s="2" t="s">
        <v>15</v>
      </c>
      <c r="D504" s="2" t="s">
        <v>16</v>
      </c>
      <c r="E504">
        <v>4</v>
      </c>
      <c r="F504">
        <v>1364</v>
      </c>
      <c r="G504">
        <v>5456</v>
      </c>
      <c r="H504" s="1">
        <v>45353</v>
      </c>
      <c r="I504" s="2" t="s">
        <v>12</v>
      </c>
      <c r="J504" s="2" t="s">
        <v>95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7AEBF-1A9D-4822-ABC8-A6E857FE4B3F}">
  <dimension ref="B3:F27"/>
  <sheetViews>
    <sheetView showGridLines="0" zoomScale="80" zoomScaleNormal="80" workbookViewId="0">
      <selection activeCell="T27" sqref="T27"/>
    </sheetView>
  </sheetViews>
  <sheetFormatPr defaultRowHeight="14.5" x14ac:dyDescent="0.35"/>
  <cols>
    <col min="1" max="1" width="13.26953125" bestFit="1" customWidth="1"/>
    <col min="2" max="2" width="16" customWidth="1"/>
    <col min="3" max="3" width="15.26953125" customWidth="1"/>
    <col min="4" max="4" width="16.54296875" customWidth="1"/>
    <col min="5" max="5" width="17.08984375" customWidth="1"/>
    <col min="6" max="6" width="13.7265625" customWidth="1"/>
  </cols>
  <sheetData>
    <row r="3" spans="2:3" x14ac:dyDescent="0.35">
      <c r="B3" s="3" t="s">
        <v>551</v>
      </c>
      <c r="C3" t="s">
        <v>552</v>
      </c>
    </row>
    <row r="4" spans="2:3" x14ac:dyDescent="0.35">
      <c r="B4" s="4" t="s">
        <v>30</v>
      </c>
      <c r="C4" s="5">
        <v>53434138</v>
      </c>
    </row>
    <row r="5" spans="2:3" x14ac:dyDescent="0.35">
      <c r="B5" s="4" t="s">
        <v>20</v>
      </c>
      <c r="C5" s="5">
        <v>30659997</v>
      </c>
    </row>
    <row r="6" spans="2:3" x14ac:dyDescent="0.35">
      <c r="B6" s="4" t="s">
        <v>11</v>
      </c>
      <c r="C6" s="5">
        <v>12084703</v>
      </c>
    </row>
    <row r="7" spans="2:3" x14ac:dyDescent="0.35">
      <c r="B7" s="4" t="s">
        <v>56</v>
      </c>
      <c r="C7" s="5">
        <v>1493596</v>
      </c>
    </row>
    <row r="8" spans="2:3" x14ac:dyDescent="0.35">
      <c r="B8" s="4" t="s">
        <v>23</v>
      </c>
      <c r="C8" s="5">
        <v>519186</v>
      </c>
    </row>
    <row r="9" spans="2:3" x14ac:dyDescent="0.35">
      <c r="B9" s="4" t="s">
        <v>16</v>
      </c>
      <c r="C9" s="5">
        <v>501616</v>
      </c>
    </row>
    <row r="10" spans="2:3" x14ac:dyDescent="0.35">
      <c r="B10" s="4" t="s">
        <v>46</v>
      </c>
      <c r="C10" s="5">
        <v>98693236</v>
      </c>
    </row>
    <row r="20" spans="2:6" x14ac:dyDescent="0.35">
      <c r="B20" s="3" t="s">
        <v>551</v>
      </c>
      <c r="C20" t="s">
        <v>552</v>
      </c>
      <c r="D20" s="8" t="s">
        <v>553</v>
      </c>
      <c r="E20" s="8" t="s">
        <v>554</v>
      </c>
      <c r="F20" s="9" t="s">
        <v>555</v>
      </c>
    </row>
    <row r="21" spans="2:6" x14ac:dyDescent="0.35">
      <c r="B21" s="4" t="s">
        <v>30</v>
      </c>
      <c r="C21" s="5">
        <v>53434138</v>
      </c>
      <c r="D21" s="6">
        <v>0.54141641479867986</v>
      </c>
      <c r="E21" s="6">
        <f>D21</f>
        <v>0.54141641479867986</v>
      </c>
      <c r="F21" s="10" t="str">
        <f>IF(E21 &lt;= 70%, "A", IF(E21 &lt;= 98%, "B", "C"))</f>
        <v>A</v>
      </c>
    </row>
    <row r="22" spans="2:6" x14ac:dyDescent="0.35">
      <c r="B22" s="4" t="s">
        <v>20</v>
      </c>
      <c r="C22" s="5">
        <v>30659997</v>
      </c>
      <c r="D22" s="6">
        <v>0.31065955725679112</v>
      </c>
      <c r="E22" s="6">
        <f>E21+D22</f>
        <v>0.85207597205547092</v>
      </c>
      <c r="F22" s="10" t="str">
        <f t="shared" ref="F22:F26" si="0">IF(E22 &lt;= 70%, "A", IF(E22 &lt;= 98%, "B", "C"))</f>
        <v>B</v>
      </c>
    </row>
    <row r="23" spans="2:6" x14ac:dyDescent="0.35">
      <c r="B23" s="4" t="s">
        <v>11</v>
      </c>
      <c r="C23" s="5">
        <v>12084703</v>
      </c>
      <c r="D23" s="6">
        <v>0.12244712494785356</v>
      </c>
      <c r="E23" s="6">
        <f t="shared" ref="E23:E26" si="1">E22+D23</f>
        <v>0.97452309700332451</v>
      </c>
      <c r="F23" s="10" t="str">
        <f t="shared" si="0"/>
        <v>B</v>
      </c>
    </row>
    <row r="24" spans="2:6" x14ac:dyDescent="0.35">
      <c r="B24" s="4" t="s">
        <v>56</v>
      </c>
      <c r="C24" s="5">
        <v>1493596</v>
      </c>
      <c r="D24" s="6">
        <v>1.5133722031365959E-2</v>
      </c>
      <c r="E24" s="6">
        <f t="shared" si="1"/>
        <v>0.98965681903469049</v>
      </c>
      <c r="F24" s="10" t="str">
        <f t="shared" si="0"/>
        <v>C</v>
      </c>
    </row>
    <row r="25" spans="2:6" x14ac:dyDescent="0.35">
      <c r="B25" s="4" t="s">
        <v>23</v>
      </c>
      <c r="C25" s="5">
        <v>519186</v>
      </c>
      <c r="D25" s="6">
        <v>5.2606036750076773E-3</v>
      </c>
      <c r="E25" s="6">
        <f t="shared" si="1"/>
        <v>0.99491742270969818</v>
      </c>
      <c r="F25" s="10" t="str">
        <f t="shared" si="0"/>
        <v>C</v>
      </c>
    </row>
    <row r="26" spans="2:6" x14ac:dyDescent="0.35">
      <c r="B26" s="4" t="s">
        <v>16</v>
      </c>
      <c r="C26" s="5">
        <v>501616</v>
      </c>
      <c r="D26" s="6">
        <v>5.0825772903018403E-3</v>
      </c>
      <c r="E26" s="6">
        <f t="shared" si="1"/>
        <v>1</v>
      </c>
      <c r="F26" s="10" t="str">
        <f t="shared" si="0"/>
        <v>C</v>
      </c>
    </row>
    <row r="27" spans="2:6" x14ac:dyDescent="0.35">
      <c r="B27" s="4" t="s">
        <v>46</v>
      </c>
      <c r="C27" s="5">
        <v>98693236</v>
      </c>
      <c r="D27" s="7">
        <v>1</v>
      </c>
      <c r="E27" s="7"/>
      <c r="F27" s="7"/>
    </row>
  </sheetData>
  <conditionalFormatting sqref="F21:F26">
    <cfRule type="expression" dxfId="2" priority="4">
      <formula>$F21="C"</formula>
    </cfRule>
    <cfRule type="expression" dxfId="1" priority="5">
      <formula>$F21="B"</formula>
    </cfRule>
    <cfRule type="expression" dxfId="0" priority="6">
      <formula>$F21="A"</formula>
    </cfRule>
  </conditionalFormatting>
  <pageMargins left="0.7" right="0.7" top="0.75" bottom="0.75" header="0.3" footer="0.3"/>
  <pageSetup paperSize="9" scale="38" orientation="portrait" r:id="rId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75B7D77-EF48-4C32-A7D2-5F2A1492581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Spend Analysis Dataset</vt:lpstr>
      <vt:lpstr>Pivot-Tables</vt:lpstr>
      <vt:lpstr>'Pivot-Tables'!Print_Area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A'Rahim Diallo</dc:creator>
  <cp:lastModifiedBy>Abdourahimi DialloDiallo</cp:lastModifiedBy>
  <dcterms:created xsi:type="dcterms:W3CDTF">2026-09-01T17:05:28Z</dcterms:created>
  <dcterms:modified xsi:type="dcterms:W3CDTF">2026-09-25T19:56:53Z</dcterms:modified>
</cp:coreProperties>
</file>