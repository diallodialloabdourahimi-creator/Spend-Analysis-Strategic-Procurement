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adial\OneDrive\Escritorio\Studium\Excel for Business\Case Studies\"/>
    </mc:Choice>
  </mc:AlternateContent>
  <xr:revisionPtr revIDLastSave="0" documentId="13_ncr:9_{C53C0FE7-6C32-4EBA-A19C-FD2FF9DCA235}" xr6:coauthVersionLast="47" xr6:coauthVersionMax="47" xr10:uidLastSave="{00000000-0000-0000-0000-000000000000}"/>
  <bookViews>
    <workbookView xWindow="-10" yWindow="-10" windowWidth="19220" windowHeight="11300" xr2:uid="{720B3DF6-14CD-44CC-8671-1592CA87674F}"/>
  </bookViews>
  <sheets>
    <sheet name="Spend Analysis Dataset " sheetId="3" r:id="rId1"/>
    <sheet name="Pivot-Tabellen" sheetId="4" r:id="rId2"/>
  </sheets>
  <definedNames>
    <definedName name="ExternalData_1" localSheetId="0" hidden="1">'Spend Analysis Dataset '!$B$4:$J$16</definedName>
    <definedName name="Slicer_Buyer">#N/A</definedName>
  </definedNames>
  <calcPr calcId="0"/>
  <pivotCaches>
    <pivotCache cacheId="32"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calcChain.xml><?xml version="1.0" encoding="utf-8"?>
<calcChain xmlns="http://schemas.openxmlformats.org/spreadsheetml/2006/main">
  <c r="G16" i="4" l="1"/>
  <c r="F17" i="4"/>
  <c r="G17" i="4" s="1"/>
  <c r="G6" i="3"/>
  <c r="G7" i="3"/>
  <c r="G8" i="3"/>
  <c r="G9" i="3"/>
  <c r="G10" i="3"/>
  <c r="G11" i="3"/>
  <c r="G12" i="3"/>
  <c r="G13" i="3"/>
  <c r="G14" i="3"/>
  <c r="G15" i="3"/>
  <c r="G16" i="3"/>
  <c r="G5" i="3"/>
  <c r="F18" i="4" l="1"/>
  <c r="F19" i="4" s="1"/>
  <c r="G19" i="4" s="1"/>
  <c r="G18" i="4" l="1"/>
  <c r="F20" i="4"/>
  <c r="G20"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CF01BE-E219-4E80-A483-E0233986ACEC}" keepAlive="1" name="Query - spend_analysis_dataset" description="Connection to the 'spend_analysis_dataset' query in the workbook." type="5" refreshedVersion="8" background="1" saveData="1">
    <dbPr connection="Provider=Microsoft.Mashup.OleDb.1;Data Source=$Workbook$;Location=spend_analysis_dataset;Extended Properties=&quot;&quot;" command="SELECT * FROM [spend_analysis_dataset]"/>
  </connection>
</connections>
</file>

<file path=xl/sharedStrings.xml><?xml version="1.0" encoding="utf-8"?>
<sst xmlns="http://schemas.openxmlformats.org/spreadsheetml/2006/main" count="87" uniqueCount="50">
  <si>
    <t>TransactionID</t>
  </si>
  <si>
    <t>ItemName</t>
  </si>
  <si>
    <t>Category</t>
  </si>
  <si>
    <t>Quantity</t>
  </si>
  <si>
    <t>UnitPrice</t>
  </si>
  <si>
    <t>TotalCost</t>
  </si>
  <si>
    <t>PurchaseDate</t>
  </si>
  <si>
    <t>Supplier</t>
  </si>
  <si>
    <t>Buyer</t>
  </si>
  <si>
    <t>TXN001</t>
  </si>
  <si>
    <t>Desk Chair</t>
  </si>
  <si>
    <t>Furniture</t>
  </si>
  <si>
    <t>TechMart Inc.</t>
  </si>
  <si>
    <t>Kelly Joseph</t>
  </si>
  <si>
    <t>TXN002</t>
  </si>
  <si>
    <t>Stapler</t>
  </si>
  <si>
    <t>Office Supplies</t>
  </si>
  <si>
    <t>CloudSoft Corp.</t>
  </si>
  <si>
    <t>TXN003</t>
  </si>
  <si>
    <t>Annual Software License</t>
  </si>
  <si>
    <t>Software</t>
  </si>
  <si>
    <t>TXN004</t>
  </si>
  <si>
    <t>Notepad</t>
  </si>
  <si>
    <t>Stationery</t>
  </si>
  <si>
    <t>FurniWorks Ltd.</t>
  </si>
  <si>
    <t>Luis Holland</t>
  </si>
  <si>
    <t>TXN005</t>
  </si>
  <si>
    <t>Cynthia Jenkins</t>
  </si>
  <si>
    <t>TXN006</t>
  </si>
  <si>
    <t>Printer</t>
  </si>
  <si>
    <t>Electronics</t>
  </si>
  <si>
    <t>Stephanie Bennett</t>
  </si>
  <si>
    <t>TXN007</t>
  </si>
  <si>
    <t>OfficeSupplies Co.</t>
  </si>
  <si>
    <t>Todd James</t>
  </si>
  <si>
    <t>TXN008</t>
  </si>
  <si>
    <t>Aaron Hopkins</t>
  </si>
  <si>
    <t>TXN009</t>
  </si>
  <si>
    <t>Printer Ink</t>
  </si>
  <si>
    <t>Kevin Adams</t>
  </si>
  <si>
    <t>TXN010</t>
  </si>
  <si>
    <t>Whiteboard</t>
  </si>
  <si>
    <t>TXN011</t>
  </si>
  <si>
    <t>QuickDeliver Ltd.</t>
  </si>
  <si>
    <t>TXN012</t>
  </si>
  <si>
    <t>Walter Pena</t>
  </si>
  <si>
    <t>Grand Total</t>
  </si>
  <si>
    <t>Warengruppe</t>
  </si>
  <si>
    <t>Anteil (%)</t>
  </si>
  <si>
    <t>Summe der Gesamtkosten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</si>
</sst>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5" formatCode="#,##0.00\ &quot;€&quot;"/>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0" fillId="0" borderId="0" xfId="0" applyNumberFormat="1"/>
    <xf numFmtId="14" fontId="0" fillId="0" borderId="0" xfId="0" applyNumberFormat="1"/>
    <xf numFmtId="0" fontId="0" fillId="0" borderId="0" xfId="0" pivotButton="1"/>
    <xf numFmtId="0" fontId="16" fillId="33" borderId="10" xfId="0" applyFont="1" applyFill="1" applyBorder="1"/>
    <xf numFmtId="0" fontId="0" fillId="0" borderId="0" xfId="0" applyAlignment="1">
      <alignment horizontal="left"/>
    </xf>
    <xf numFmtId="165" fontId="0" fillId="0" borderId="0" xfId="0" applyNumberFormat="1"/>
    <xf numFmtId="10" fontId="0" fillId="0" borderId="0" xfId="0" applyNumberFormat="1"/>
    <xf numFmtId="0" fontId="16" fillId="33" borderId="11" xfId="0" applyNumberFormat="1" applyFont="1" applyFill="1" applyBorder="1"/>
    <xf numFmtId="9" fontId="0" fillId="0" borderId="0" xfId="1" applyFont="1"/>
    <xf numFmtId="9" fontId="0" fillId="0" borderId="0" xfId="0" applyNumberFormat="1"/>
    <xf numFmtId="44"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2">
    <dxf>
      <numFmt numFmtId="34" formatCode="_-* #,##0.00\ &quot;€&quot;_-;\-* #,##0.00\ &quot;€&quot;_-;_-* &quot;-&quot;??\ &quot;€&quot;_-;_-@_-"/>
    </dxf>
    <dxf>
      <numFmt numFmtId="34" formatCode="_-* #,##0.00\ &quot;€&quot;_-;\-* #,##0.00\ &quot;€&quot;_-;_-* &quot;-&quot;??\ &quot;€&quot;_-;_-@_-"/>
    </dxf>
    <dxf>
      <fill>
        <patternFill>
          <bgColor rgb="FFFF0000"/>
        </patternFill>
      </fill>
    </dxf>
    <dxf>
      <fill>
        <patternFill>
          <bgColor rgb="FF92D050"/>
        </patternFill>
      </fill>
    </dxf>
    <dxf>
      <fill>
        <patternFill>
          <bgColor rgb="FFFFFF00"/>
        </patternFill>
      </fill>
    </dxf>
    <dxf>
      <numFmt numFmtId="165" formatCode="#,##0.00\ &quot;€&quot;"/>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[Spend_Analysis_Dashboard.xlsx]Pivot-Tabellen!PivotTable7</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'Pivot-Tabellen'!$C$15</c:f>
              <c:strCache>
                <c:ptCount val="1"/>
                <c:pt idx="0">
                  <c:v>Summe der Gesamtkosten</c:v>
                </c:pt>
              </c:strCache>
            </c:strRef>
          </c:tx>
          <c:spPr>
            <a:solidFill>
              <a:schemeClr val="accent1"/>
            </a:solidFill>
            <a:ln>
              <a:noFill/>
            </a:ln>
            <a:effectLst/>
          </c:spPr>
          <c:invertIfNegative val="0"/>
          <c:cat>
            <c:strRef>
              <c:f>'Pivot-Tabellen'!$B$16:$B$21</c:f>
              <c:strCache>
                <c:ptCount val="5"/>
                <c:pt idx="0">
                  <c:v>Software</c:v>
                </c:pt>
                <c:pt idx="1">
                  <c:v>Furniture</c:v>
                </c:pt>
                <c:pt idx="2">
                  <c:v>Electronics</c:v>
                </c:pt>
                <c:pt idx="3">
                  <c:v>Stationery</c:v>
                </c:pt>
                <c:pt idx="4">
                  <c:v>Office Supplies</c:v>
                </c:pt>
              </c:strCache>
            </c:strRef>
          </c:cat>
          <c:val>
            <c:numRef>
              <c:f>'Pivot-Tabellen'!$C$16:$C$21</c:f>
              <c:numCache>
                <c:formatCode>_("€"* #,##0.00_);_("€"* \(#,##0.00\);_("€"* "-"??_);_(@_)</c:formatCode>
                <c:ptCount val="5"/>
                <c:pt idx="0">
                  <c:v>1383325</c:v>
                </c:pt>
                <c:pt idx="1">
                  <c:v>304708</c:v>
                </c:pt>
                <c:pt idx="2">
                  <c:v>286786</c:v>
                </c:pt>
                <c:pt idx="3">
                  <c:v>29134</c:v>
                </c:pt>
                <c:pt idx="4">
                  <c:v>20192</c:v>
                </c:pt>
              </c:numCache>
            </c:numRef>
          </c:val>
          <c:extLst>
            <c:ext xmlns:c16="http://schemas.microsoft.com/office/drawing/2014/chart" uri="{C3380CC4-5D6E-409C-BE32-E72D297353CC}">
              <c16:uniqueId val="{00000000-F1DC-4BD1-B23E-7B28E771E947}"/>
            </c:ext>
          </c:extLst>
        </c:ser>
        <c:dLbls>
          <c:showLegendKey val="0"/>
          <c:showVal val="0"/>
          <c:showCatName val="0"/>
          <c:showSerName val="0"/>
          <c:showPercent val="0"/>
          <c:showBubbleSize val="0"/>
        </c:dLbls>
        <c:gapWidth val="219"/>
        <c:overlap val="-27"/>
        <c:axId val="551072911"/>
        <c:axId val="495063471"/>
      </c:barChart>
      <c:lineChart>
        <c:grouping val="standard"/>
        <c:varyColors val="0"/>
        <c:ser>
          <c:idx val="1"/>
          <c:order val="1"/>
          <c:tx>
            <c:strRef>
              <c:f>'Pivot-Tabellen'!$D$15</c:f>
              <c:strCache>
                <c:ptCount val="1"/>
                <c:pt idx="0">
                  <c:v>Anteil (%)</c:v>
                </c:pt>
              </c:strCache>
            </c:strRef>
          </c:tx>
          <c:spPr>
            <a:ln w="28575" cap="rnd">
              <a:solidFill>
                <a:schemeClr val="accent2"/>
              </a:solidFill>
              <a:round/>
            </a:ln>
            <a:effectLst/>
          </c:spPr>
          <c:marker>
            <c:symbol val="none"/>
          </c:marker>
          <c:cat>
            <c:strRef>
              <c:f>'Pivot-Tabellen'!$B$16:$B$21</c:f>
              <c:strCache>
                <c:ptCount val="5"/>
                <c:pt idx="0">
                  <c:v>Software</c:v>
                </c:pt>
                <c:pt idx="1">
                  <c:v>Furniture</c:v>
                </c:pt>
                <c:pt idx="2">
                  <c:v>Electronics</c:v>
                </c:pt>
                <c:pt idx="3">
                  <c:v>Stationery</c:v>
                </c:pt>
                <c:pt idx="4">
                  <c:v>Office Supplies</c:v>
                </c:pt>
              </c:strCache>
            </c:strRef>
          </c:cat>
          <c:val>
            <c:numRef>
              <c:f>'Pivot-Tabellen'!$D$16:$D$21</c:f>
              <c:numCache>
                <c:formatCode>0.00%</c:formatCode>
                <c:ptCount val="5"/>
                <c:pt idx="0">
                  <c:v>0.68341200852705708</c:v>
                </c:pt>
                <c:pt idx="1">
                  <c:v>0.1505366463370954</c:v>
                </c:pt>
                <c:pt idx="2">
                  <c:v>0.1416825375652436</c:v>
                </c:pt>
                <c:pt idx="3">
                  <c:v>1.4393237638607906E-2</c:v>
                </c:pt>
                <c:pt idx="4">
                  <c:v>9.9755699319959788E-3</c:v>
                </c:pt>
              </c:numCache>
            </c:numRef>
          </c:val>
          <c:smooth val="0"/>
          <c:extLst>
            <c:ext xmlns:c16="http://schemas.microsoft.com/office/drawing/2014/chart" uri="{C3380CC4-5D6E-409C-BE32-E72D297353CC}">
              <c16:uniqueId val="{00000001-F1DC-4BD1-B23E-7B28E771E947}"/>
            </c:ext>
          </c:extLst>
        </c:ser>
        <c:dLbls>
          <c:showLegendKey val="0"/>
          <c:showVal val="0"/>
          <c:showCatName val="0"/>
          <c:showSerName val="0"/>
          <c:showPercent val="0"/>
          <c:showBubbleSize val="0"/>
        </c:dLbls>
        <c:marker val="1"/>
        <c:smooth val="0"/>
        <c:axId val="661717391"/>
        <c:axId val="495028911"/>
      </c:lineChart>
      <c:catAx>
        <c:axId val="551072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95063471"/>
        <c:crosses val="autoZero"/>
        <c:auto val="1"/>
        <c:lblAlgn val="ctr"/>
        <c:lblOffset val="100"/>
        <c:noMultiLvlLbl val="0"/>
      </c:catAx>
      <c:valAx>
        <c:axId val="495063471"/>
        <c:scaling>
          <c:orientation val="minMax"/>
          <c:max val="1400000"/>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51072911"/>
        <c:crosses val="autoZero"/>
        <c:crossBetween val="between"/>
      </c:valAx>
      <c:valAx>
        <c:axId val="495028911"/>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1717391"/>
        <c:crosses val="max"/>
        <c:crossBetween val="between"/>
      </c:valAx>
      <c:catAx>
        <c:axId val="661717391"/>
        <c:scaling>
          <c:orientation val="minMax"/>
        </c:scaling>
        <c:delete val="1"/>
        <c:axPos val="b"/>
        <c:numFmt formatCode="General" sourceLinked="1"/>
        <c:majorTickMark val="out"/>
        <c:minorTickMark val="none"/>
        <c:tickLblPos val="nextTo"/>
        <c:crossAx val="495028911"/>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7430</xdr:colOff>
      <xdr:row>2</xdr:row>
      <xdr:rowOff>158481</xdr:rowOff>
    </xdr:from>
    <xdr:to>
      <xdr:col>15</xdr:col>
      <xdr:colOff>567446</xdr:colOff>
      <xdr:row>17</xdr:row>
      <xdr:rowOff>165777</xdr:rowOff>
    </xdr:to>
    <xdr:graphicFrame macro="">
      <xdr:nvGraphicFramePr>
        <xdr:cNvPr id="6" name="Chart 5">
          <a:extLst>
            <a:ext uri="{FF2B5EF4-FFF2-40B4-BE49-F238E27FC236}">
              <a16:creationId xmlns:a16="http://schemas.microsoft.com/office/drawing/2014/main" id="{3FA5FE88-1756-1262-3FA9-82141B7C6F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0</xdr:colOff>
      <xdr:row>2</xdr:row>
      <xdr:rowOff>173883</xdr:rowOff>
    </xdr:from>
    <xdr:to>
      <xdr:col>19</xdr:col>
      <xdr:colOff>4864</xdr:colOff>
      <xdr:row>17</xdr:row>
      <xdr:rowOff>57351</xdr:rowOff>
    </xdr:to>
    <mc:AlternateContent xmlns:mc="http://schemas.openxmlformats.org/markup-compatibility/2006">
      <mc:Choice xmlns:a14="http://schemas.microsoft.com/office/drawing/2010/main" Requires="a14">
        <xdr:graphicFrame macro="">
          <xdr:nvGraphicFramePr>
            <xdr:cNvPr id="8" name="Buyer">
              <a:extLst>
                <a:ext uri="{FF2B5EF4-FFF2-40B4-BE49-F238E27FC236}">
                  <a16:creationId xmlns:a16="http://schemas.microsoft.com/office/drawing/2014/main" id="{6A026617-AC2E-CF3E-5E33-14361DC1831E}"/>
                </a:ext>
              </a:extLst>
            </xdr:cNvPr>
            <xdr:cNvGraphicFramePr/>
          </xdr:nvGraphicFramePr>
          <xdr:xfrm>
            <a:off x="0" y="0"/>
            <a:ext cx="0" cy="0"/>
          </xdr:xfrm>
          <a:graphic>
            <a:graphicData uri="http://schemas.microsoft.com/office/drawing/2010/slicer">
              <sle:slicer xmlns:sle="http://schemas.microsoft.com/office/drawing/2010/slicer" name="Buyer"/>
            </a:graphicData>
          </a:graphic>
        </xdr:graphicFrame>
      </mc:Choice>
      <mc:Fallback>
        <xdr:sp macro="" textlink="">
          <xdr:nvSpPr>
            <xdr:cNvPr id="0" name=""/>
            <xdr:cNvSpPr>
              <a:spLocks noTextEdit="1"/>
            </xdr:cNvSpPr>
          </xdr:nvSpPr>
          <xdr:spPr>
            <a:xfrm>
              <a:off x="9798050" y="542183"/>
              <a:ext cx="1833664" cy="2645718"/>
            </a:xfrm>
            <a:prstGeom prst="rect">
              <a:avLst/>
            </a:prstGeom>
            <a:solidFill>
              <a:prstClr val="white"/>
            </a:solidFill>
            <a:ln w="1">
              <a:solidFill>
                <a:prstClr val="green"/>
              </a:solidFill>
            </a:ln>
          </xdr:spPr>
          <xdr:txBody>
            <a:bodyPr vertOverflow="clip" horzOverflow="clip"/>
            <a:lstStyle/>
            <a:p>
              <a:r>
                <a:rPr lang="de-D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ahim Diallo" refreshedDate="46266.72047615741" createdVersion="8" refreshedVersion="8" minRefreshableVersion="3" recordCount="12" xr:uid="{68C4656E-D10A-4B98-893B-66917C059ABA}">
  <cacheSource type="worksheet">
    <worksheetSource name="spend_analysis_dataset"/>
  </cacheSource>
  <cacheFields count="9">
    <cacheField name="TransactionID" numFmtId="0">
      <sharedItems/>
    </cacheField>
    <cacheField name="ItemName" numFmtId="0">
      <sharedItems/>
    </cacheField>
    <cacheField name="Category" numFmtId="0">
      <sharedItems count="5">
        <s v="Furniture"/>
        <s v="Office Supplies"/>
        <s v="Software"/>
        <s v="Stationery"/>
        <s v="Electronics"/>
      </sharedItems>
    </cacheField>
    <cacheField name="Quantity" numFmtId="0">
      <sharedItems containsSemiMixedTypes="0" containsString="0" containsNumber="1" containsInteger="1" minValue="1" maxValue="19"/>
    </cacheField>
    <cacheField name="UnitPrice" numFmtId="0">
      <sharedItems containsSemiMixedTypes="0" containsString="0" containsNumber="1" containsInteger="1" minValue="139" maxValue="818391"/>
    </cacheField>
    <cacheField name="TotalCost" numFmtId="0">
      <sharedItems containsSemiMixedTypes="0" containsString="0" containsNumber="1" containsInteger="1" minValue="968" maxValue="818391"/>
    </cacheField>
    <cacheField name="PurchaseDate" numFmtId="14">
      <sharedItems containsSemiMixedTypes="0" containsNonDate="0" containsDate="1" containsString="0" minDate="2024-01-13T00:00:00" maxDate="2024-12-15T00:00:00"/>
    </cacheField>
    <cacheField name="Supplier" numFmtId="0">
      <sharedItems count="5">
        <s v="TechMart Inc."/>
        <s v="CloudSoft Corp."/>
        <s v="FurniWorks Ltd."/>
        <s v="OfficeSupplies Co."/>
        <s v="QuickDeliver Ltd."/>
      </sharedItems>
    </cacheField>
    <cacheField name="Buyer" numFmtId="0">
      <sharedItems count="8">
        <s v="Kelly Joseph"/>
        <s v="Luis Holland"/>
        <s v="Cynthia Jenkins"/>
        <s v="Stephanie Bennett"/>
        <s v="Todd James"/>
        <s v="Aaron Hopkins"/>
        <s v="Kevin Adams"/>
        <s v="Walter Pena"/>
      </sharedItems>
    </cacheField>
  </cacheFields>
  <extLst>
    <ext xmlns:x14="http://schemas.microsoft.com/office/spreadsheetml/2009/9/main" uri="{725AE2AE-9491-48be-B2B4-4EB974FC3084}">
      <x14:pivotCacheDefinition pivotCacheId="16332723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s v="TXN001"/>
    <s v="Desk Chair"/>
    <x v="0"/>
    <n v="10"/>
    <n v="11315"/>
    <n v="113150"/>
    <d v="2024-04-19T00:00:00"/>
    <x v="0"/>
    <x v="0"/>
  </r>
  <r>
    <s v="TXN002"/>
    <s v="Stapler"/>
    <x v="1"/>
    <n v="16"/>
    <n v="1262"/>
    <n v="20192"/>
    <d v="2024-07-06T00:00:00"/>
    <x v="1"/>
    <x v="0"/>
  </r>
  <r>
    <s v="TXN003"/>
    <s v="Annual Software License"/>
    <x v="2"/>
    <n v="1"/>
    <n v="564934"/>
    <n v="564934"/>
    <d v="2024-09-10T00:00:00"/>
    <x v="0"/>
    <x v="0"/>
  </r>
  <r>
    <s v="TXN004"/>
    <s v="Notepad"/>
    <x v="3"/>
    <n v="13"/>
    <n v="292"/>
    <n v="3796"/>
    <d v="2024-01-21T00:00:00"/>
    <x v="2"/>
    <x v="1"/>
  </r>
  <r>
    <s v="TXN005"/>
    <s v="Notepad"/>
    <x v="3"/>
    <n v="19"/>
    <n v="139"/>
    <n v="2641"/>
    <d v="2024-02-03T00:00:00"/>
    <x v="0"/>
    <x v="2"/>
  </r>
  <r>
    <s v="TXN006"/>
    <s v="Printer"/>
    <x v="4"/>
    <n v="19"/>
    <n v="15094"/>
    <n v="286786"/>
    <d v="2024-11-28T00:00:00"/>
    <x v="2"/>
    <x v="3"/>
  </r>
  <r>
    <s v="TXN007"/>
    <s v="Notepad"/>
    <x v="3"/>
    <n v="8"/>
    <n v="273"/>
    <n v="2184"/>
    <d v="2024-02-19T00:00:00"/>
    <x v="3"/>
    <x v="4"/>
  </r>
  <r>
    <s v="TXN008"/>
    <s v="Notepad"/>
    <x v="3"/>
    <n v="4"/>
    <n v="242"/>
    <n v="968"/>
    <d v="2024-09-11T00:00:00"/>
    <x v="2"/>
    <x v="5"/>
  </r>
  <r>
    <s v="TXN009"/>
    <s v="Printer Ink"/>
    <x v="3"/>
    <n v="13"/>
    <n v="1189"/>
    <n v="15457"/>
    <d v="2024-04-12T00:00:00"/>
    <x v="2"/>
    <x v="6"/>
  </r>
  <r>
    <s v="TXN010"/>
    <s v="Whiteboard"/>
    <x v="0"/>
    <n v="19"/>
    <n v="10082"/>
    <n v="191558"/>
    <d v="2024-12-14T00:00:00"/>
    <x v="2"/>
    <x v="5"/>
  </r>
  <r>
    <s v="TXN011"/>
    <s v="Annual Software License"/>
    <x v="2"/>
    <n v="1"/>
    <n v="818391"/>
    <n v="818391"/>
    <d v="2024-01-13T00:00:00"/>
    <x v="4"/>
    <x v="5"/>
  </r>
  <r>
    <s v="TXN012"/>
    <s v="Notepad"/>
    <x v="3"/>
    <n v="14"/>
    <n v="292"/>
    <n v="4088"/>
    <d v="2024-08-01T00:00:00"/>
    <x v="2"/>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FAC1BD-6EF0-47F2-B1B0-0C6A6CE8EEAD}" name="PivotTable7"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Warengruppe">
  <location ref="B15:D21" firstHeaderRow="0" firstDataRow="1" firstDataCol="1"/>
  <pivotFields count="9">
    <pivotField showAll="0"/>
    <pivotField showAll="0"/>
    <pivotField axis="axisRow" showAll="0" sortType="descending">
      <items count="6">
        <item x="4"/>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pivotField showAll="0" sortType="descending">
      <items count="6">
        <item x="1"/>
        <item x="2"/>
        <item x="3"/>
        <item x="4"/>
        <item x="0"/>
        <item t="default"/>
      </items>
      <autoSortScope>
        <pivotArea dataOnly="0" outline="0" fieldPosition="0">
          <references count="1">
            <reference field="4294967294" count="1" selected="0">
              <x v="1"/>
            </reference>
          </references>
        </pivotArea>
      </autoSortScope>
    </pivotField>
    <pivotField showAll="0">
      <items count="9">
        <item x="5"/>
        <item x="2"/>
        <item x="0"/>
        <item x="6"/>
        <item x="1"/>
        <item x="3"/>
        <item x="4"/>
        <item x="7"/>
        <item t="default"/>
      </items>
    </pivotField>
  </pivotFields>
  <rowFields count="1">
    <field x="2"/>
  </rowFields>
  <rowItems count="6">
    <i>
      <x v="3"/>
    </i>
    <i>
      <x v="1"/>
    </i>
    <i>
      <x/>
    </i>
    <i>
      <x v="4"/>
    </i>
    <i>
      <x v="2"/>
    </i>
    <i t="grand">
      <x/>
    </i>
  </rowItems>
  <colFields count="1">
    <field x="-2"/>
  </colFields>
  <colItems count="2">
    <i>
      <x/>
    </i>
    <i i="1">
      <x v="1"/>
    </i>
  </colItems>
  <dataFields count="2">
    <dataField name="Summe der Gesamtkosten" fld="5" baseField="0" baseItem="0"/>
    <dataField name="Anteil (%)" fld="5" showDataAs="percentOfTotal" baseField="0" baseItem="0" numFmtId="10"/>
  </dataFields>
  <formats count="2">
    <format dxfId="0">
      <pivotArea collapsedLevelsAreSubtotals="1" fieldPosition="0">
        <references count="2">
          <reference field="4294967294" count="1" selected="0">
            <x v="0"/>
          </reference>
          <reference field="2" count="0"/>
        </references>
      </pivotArea>
    </format>
    <format dxfId="1">
      <pivotArea field="2" grandRow="1" outline="0" collapsedLevelsAreSubtotals="1" axis="axisRow" fieldPosition="0">
        <references count="1">
          <reference field="4294967294" count="1" selected="0">
            <x v="0"/>
          </reference>
        </references>
      </pivotArea>
    </format>
  </formats>
  <chartFormats count="2">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B7BA10-1645-4DFF-B95A-6776D7FC6EA8}" name="PivotTable5"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arengruppe">
  <location ref="B6:C12" firstHeaderRow="1" firstDataRow="1" firstDataCol="1"/>
  <pivotFields count="9">
    <pivotField showAll="0"/>
    <pivotField showAll="0"/>
    <pivotField axis="axisRow" showAll="0" sortType="descending">
      <items count="6">
        <item x="4"/>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pivotField showAll="0"/>
    <pivotField showAll="0"/>
  </pivotFields>
  <rowFields count="1">
    <field x="2"/>
  </rowFields>
  <rowItems count="6">
    <i>
      <x v="3"/>
    </i>
    <i>
      <x v="1"/>
    </i>
    <i>
      <x/>
    </i>
    <i>
      <x v="4"/>
    </i>
    <i>
      <x v="2"/>
    </i>
    <i t="grand">
      <x/>
    </i>
  </rowItems>
  <colItems count="1">
    <i/>
  </colItems>
  <dataFields count="1">
    <dataField name="Summe der Gesamtkosten" fld="5" baseField="0" baseItem="0" numFmtId="165"/>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A20B35F-269D-40B1-BE45-16031CA798C7}" autoFormatId="16" applyNumberFormats="0" applyBorderFormats="0" applyFontFormats="0" applyPatternFormats="0" applyAlignmentFormats="0" applyWidthHeightFormats="0">
  <queryTableRefresh nextId="10">
    <queryTableFields count="9">
      <queryTableField id="1" name="TransactionID" tableColumnId="1"/>
      <queryTableField id="2" name="ItemName" tableColumnId="2"/>
      <queryTableField id="3" name="Category" tableColumnId="3"/>
      <queryTableField id="4" name="Quantity" tableColumnId="4"/>
      <queryTableField id="5" name="UnitPrice" tableColumnId="5"/>
      <queryTableField id="6" name="TotalCost" tableColumnId="6"/>
      <queryTableField id="7" name="PurchaseDate" tableColumnId="7"/>
      <queryTableField id="8" name="Supplier" tableColumnId="8"/>
      <queryTableField id="9" name="Buyer"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yer" xr10:uid="{E0C276BD-817F-4D17-8D96-5D147FDB2BAC}" sourceName="Buyer">
  <pivotTables>
    <pivotTable tabId="4" name="PivotTable7"/>
  </pivotTables>
  <data>
    <tabular pivotCacheId="1633272390">
      <items count="8">
        <i x="5" s="1"/>
        <i x="2" s="1"/>
        <i x="0" s="1"/>
        <i x="6" s="1"/>
        <i x="1" s="1"/>
        <i x="3" s="1"/>
        <i x="4"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yer" xr10:uid="{F97D9BA6-1885-4A0D-9F43-A66AC2E9A841}" cache="Slicer_Buyer" caption="Buyer"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D6D020-66EA-494E-8FD9-FDDFDABD2FB8}" name="spend_analysis_dataset" displayName="spend_analysis_dataset" ref="B4:J16" tableType="queryTable" totalsRowShown="0">
  <autoFilter ref="B4:J16" xr:uid="{0AD6D020-66EA-494E-8FD9-FDDFDABD2FB8}"/>
  <tableColumns count="9">
    <tableColumn id="1" xr3:uid="{D37BF787-2DE5-4CEA-B6A1-B70237838E31}" uniqueName="1" name="TransactionID" queryTableFieldId="1" dataDxfId="11"/>
    <tableColumn id="2" xr3:uid="{87884CA4-8015-48B3-961D-50982A069257}" uniqueName="2" name="ItemName" queryTableFieldId="2" dataDxfId="10"/>
    <tableColumn id="3" xr3:uid="{5B48A734-51B4-46DA-810E-55EBC21CB0F9}" uniqueName="3" name="Category" queryTableFieldId="3" dataDxfId="9"/>
    <tableColumn id="4" xr3:uid="{E78D1F7E-0E46-4AD0-8AC6-7327C76B3CED}" uniqueName="4" name="Quantity" queryTableFieldId="4"/>
    <tableColumn id="5" xr3:uid="{FE665562-97E4-4322-B72B-617A47DAD86A}" uniqueName="5" name="UnitPrice" queryTableFieldId="5"/>
    <tableColumn id="6" xr3:uid="{00846DCA-61C1-4032-90B7-093CBF7C2CF6}" uniqueName="6" name="TotalCost" queryTableFieldId="6"/>
    <tableColumn id="7" xr3:uid="{C15D47E1-E2FC-4C92-9C5F-ED824EFCAECE}" uniqueName="7" name="PurchaseDate" queryTableFieldId="7" dataDxfId="8"/>
    <tableColumn id="8" xr3:uid="{19BF315A-B06B-418C-80F3-B34201D7881D}" uniqueName="8" name="Supplier" queryTableFieldId="8" dataDxfId="7"/>
    <tableColumn id="9" xr3:uid="{13A76322-4920-4795-A800-3FB34D64D4D9}" uniqueName="9" name="Buyer" queryTableFieldId="9"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9618A-0DB2-49D6-BC66-D01058FE52F5}">
  <dimension ref="B4:J16"/>
  <sheetViews>
    <sheetView showGridLines="0" tabSelected="1" workbookViewId="0">
      <selection activeCell="H19" sqref="H19"/>
    </sheetView>
  </sheetViews>
  <sheetFormatPr defaultRowHeight="14.5" x14ac:dyDescent="0.35"/>
  <cols>
    <col min="1" max="2" width="14.7265625" bestFit="1" customWidth="1"/>
    <col min="3" max="3" width="20.6328125" bestFit="1" customWidth="1"/>
    <col min="4" max="4" width="13" bestFit="1" customWidth="1"/>
    <col min="5" max="5" width="10.26953125" bestFit="1" customWidth="1"/>
    <col min="6" max="6" width="10.90625" bestFit="1" customWidth="1"/>
    <col min="7" max="7" width="11" bestFit="1" customWidth="1"/>
    <col min="8" max="8" width="14.81640625" bestFit="1" customWidth="1"/>
    <col min="9" max="9" width="15.81640625" bestFit="1" customWidth="1"/>
    <col min="10" max="10" width="15.7265625" bestFit="1" customWidth="1"/>
  </cols>
  <sheetData>
    <row r="4" spans="2:10" x14ac:dyDescent="0.35">
      <c r="B4" t="s">
        <v>0</v>
      </c>
      <c r="C4" t="s">
        <v>1</v>
      </c>
      <c r="D4" t="s">
        <v>2</v>
      </c>
      <c r="E4" t="s">
        <v>3</v>
      </c>
      <c r="F4" t="s">
        <v>4</v>
      </c>
      <c r="G4" t="s">
        <v>5</v>
      </c>
      <c r="H4" t="s">
        <v>6</v>
      </c>
      <c r="I4" t="s">
        <v>7</v>
      </c>
      <c r="J4" t="s">
        <v>8</v>
      </c>
    </row>
    <row r="5" spans="2:10" x14ac:dyDescent="0.35">
      <c r="B5" s="1" t="s">
        <v>9</v>
      </c>
      <c r="C5" s="1" t="s">
        <v>10</v>
      </c>
      <c r="D5" s="1" t="s">
        <v>11</v>
      </c>
      <c r="E5">
        <v>10</v>
      </c>
      <c r="F5">
        <v>11315</v>
      </c>
      <c r="G5">
        <f>E5*F5</f>
        <v>113150</v>
      </c>
      <c r="H5" s="2">
        <v>45401</v>
      </c>
      <c r="I5" s="1" t="s">
        <v>12</v>
      </c>
      <c r="J5" s="1" t="s">
        <v>13</v>
      </c>
    </row>
    <row r="6" spans="2:10" x14ac:dyDescent="0.35">
      <c r="B6" s="1" t="s">
        <v>14</v>
      </c>
      <c r="C6" s="1" t="s">
        <v>15</v>
      </c>
      <c r="D6" s="1" t="s">
        <v>16</v>
      </c>
      <c r="E6">
        <v>16</v>
      </c>
      <c r="F6">
        <v>1262</v>
      </c>
      <c r="G6">
        <f t="shared" ref="G6:G16" si="0">E6*F6</f>
        <v>20192</v>
      </c>
      <c r="H6" s="2">
        <v>45479</v>
      </c>
      <c r="I6" s="1" t="s">
        <v>17</v>
      </c>
      <c r="J6" s="1" t="s">
        <v>13</v>
      </c>
    </row>
    <row r="7" spans="2:10" x14ac:dyDescent="0.35">
      <c r="B7" s="1" t="s">
        <v>18</v>
      </c>
      <c r="C7" s="1" t="s">
        <v>19</v>
      </c>
      <c r="D7" s="1" t="s">
        <v>20</v>
      </c>
      <c r="E7">
        <v>1</v>
      </c>
      <c r="F7">
        <v>564934</v>
      </c>
      <c r="G7">
        <f t="shared" si="0"/>
        <v>564934</v>
      </c>
      <c r="H7" s="2">
        <v>45545</v>
      </c>
      <c r="I7" s="1" t="s">
        <v>12</v>
      </c>
      <c r="J7" s="1" t="s">
        <v>13</v>
      </c>
    </row>
    <row r="8" spans="2:10" x14ac:dyDescent="0.35">
      <c r="B8" s="1" t="s">
        <v>21</v>
      </c>
      <c r="C8" s="1" t="s">
        <v>22</v>
      </c>
      <c r="D8" s="1" t="s">
        <v>23</v>
      </c>
      <c r="E8">
        <v>13</v>
      </c>
      <c r="F8">
        <v>292</v>
      </c>
      <c r="G8">
        <f t="shared" si="0"/>
        <v>3796</v>
      </c>
      <c r="H8" s="2">
        <v>45312</v>
      </c>
      <c r="I8" s="1" t="s">
        <v>24</v>
      </c>
      <c r="J8" s="1" t="s">
        <v>25</v>
      </c>
    </row>
    <row r="9" spans="2:10" x14ac:dyDescent="0.35">
      <c r="B9" s="1" t="s">
        <v>26</v>
      </c>
      <c r="C9" s="1" t="s">
        <v>22</v>
      </c>
      <c r="D9" s="1" t="s">
        <v>23</v>
      </c>
      <c r="E9">
        <v>19</v>
      </c>
      <c r="F9">
        <v>139</v>
      </c>
      <c r="G9">
        <f t="shared" si="0"/>
        <v>2641</v>
      </c>
      <c r="H9" s="2">
        <v>45325</v>
      </c>
      <c r="I9" s="1" t="s">
        <v>12</v>
      </c>
      <c r="J9" s="1" t="s">
        <v>27</v>
      </c>
    </row>
    <row r="10" spans="2:10" x14ac:dyDescent="0.35">
      <c r="B10" s="1" t="s">
        <v>28</v>
      </c>
      <c r="C10" s="1" t="s">
        <v>29</v>
      </c>
      <c r="D10" s="1" t="s">
        <v>30</v>
      </c>
      <c r="E10">
        <v>19</v>
      </c>
      <c r="F10">
        <v>15094</v>
      </c>
      <c r="G10">
        <f t="shared" si="0"/>
        <v>286786</v>
      </c>
      <c r="H10" s="2">
        <v>45624</v>
      </c>
      <c r="I10" s="1" t="s">
        <v>24</v>
      </c>
      <c r="J10" s="1" t="s">
        <v>31</v>
      </c>
    </row>
    <row r="11" spans="2:10" x14ac:dyDescent="0.35">
      <c r="B11" s="1" t="s">
        <v>32</v>
      </c>
      <c r="C11" s="1" t="s">
        <v>22</v>
      </c>
      <c r="D11" s="1" t="s">
        <v>23</v>
      </c>
      <c r="E11">
        <v>8</v>
      </c>
      <c r="F11">
        <v>273</v>
      </c>
      <c r="G11">
        <f t="shared" si="0"/>
        <v>2184</v>
      </c>
      <c r="H11" s="2">
        <v>45341</v>
      </c>
      <c r="I11" s="1" t="s">
        <v>33</v>
      </c>
      <c r="J11" s="1" t="s">
        <v>34</v>
      </c>
    </row>
    <row r="12" spans="2:10" x14ac:dyDescent="0.35">
      <c r="B12" s="1" t="s">
        <v>35</v>
      </c>
      <c r="C12" s="1" t="s">
        <v>22</v>
      </c>
      <c r="D12" s="1" t="s">
        <v>23</v>
      </c>
      <c r="E12">
        <v>4</v>
      </c>
      <c r="F12">
        <v>242</v>
      </c>
      <c r="G12">
        <f t="shared" si="0"/>
        <v>968</v>
      </c>
      <c r="H12" s="2">
        <v>45546</v>
      </c>
      <c r="I12" s="1" t="s">
        <v>24</v>
      </c>
      <c r="J12" s="1" t="s">
        <v>36</v>
      </c>
    </row>
    <row r="13" spans="2:10" x14ac:dyDescent="0.35">
      <c r="B13" s="1" t="s">
        <v>37</v>
      </c>
      <c r="C13" s="1" t="s">
        <v>38</v>
      </c>
      <c r="D13" s="1" t="s">
        <v>23</v>
      </c>
      <c r="E13">
        <v>13</v>
      </c>
      <c r="F13">
        <v>1189</v>
      </c>
      <c r="G13">
        <f t="shared" si="0"/>
        <v>15457</v>
      </c>
      <c r="H13" s="2">
        <v>45394</v>
      </c>
      <c r="I13" s="1" t="s">
        <v>24</v>
      </c>
      <c r="J13" s="1" t="s">
        <v>39</v>
      </c>
    </row>
    <row r="14" spans="2:10" x14ac:dyDescent="0.35">
      <c r="B14" s="1" t="s">
        <v>40</v>
      </c>
      <c r="C14" s="1" t="s">
        <v>41</v>
      </c>
      <c r="D14" s="1" t="s">
        <v>11</v>
      </c>
      <c r="E14">
        <v>19</v>
      </c>
      <c r="F14">
        <v>10082</v>
      </c>
      <c r="G14">
        <f t="shared" si="0"/>
        <v>191558</v>
      </c>
      <c r="H14" s="2">
        <v>45640</v>
      </c>
      <c r="I14" s="1" t="s">
        <v>24</v>
      </c>
      <c r="J14" s="1" t="s">
        <v>36</v>
      </c>
    </row>
    <row r="15" spans="2:10" x14ac:dyDescent="0.35">
      <c r="B15" s="1" t="s">
        <v>42</v>
      </c>
      <c r="C15" s="1" t="s">
        <v>19</v>
      </c>
      <c r="D15" s="1" t="s">
        <v>20</v>
      </c>
      <c r="E15">
        <v>1</v>
      </c>
      <c r="F15">
        <v>818391</v>
      </c>
      <c r="G15">
        <f t="shared" si="0"/>
        <v>818391</v>
      </c>
      <c r="H15" s="2">
        <v>45304</v>
      </c>
      <c r="I15" s="1" t="s">
        <v>43</v>
      </c>
      <c r="J15" s="1" t="s">
        <v>36</v>
      </c>
    </row>
    <row r="16" spans="2:10" x14ac:dyDescent="0.35">
      <c r="B16" s="1" t="s">
        <v>44</v>
      </c>
      <c r="C16" s="1" t="s">
        <v>22</v>
      </c>
      <c r="D16" s="1" t="s">
        <v>23</v>
      </c>
      <c r="E16">
        <v>14</v>
      </c>
      <c r="F16">
        <v>292</v>
      </c>
      <c r="G16">
        <f t="shared" si="0"/>
        <v>4088</v>
      </c>
      <c r="H16" s="2">
        <v>45505</v>
      </c>
      <c r="I16" s="1" t="s">
        <v>24</v>
      </c>
      <c r="J16" s="1" t="s">
        <v>45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D4AF8-27FB-4576-A695-33E3650C8224}">
  <dimension ref="B6:I21"/>
  <sheetViews>
    <sheetView showGridLines="0" zoomScaleNormal="100" workbookViewId="0">
      <selection activeCell="C29" sqref="C29"/>
    </sheetView>
  </sheetViews>
  <sheetFormatPr defaultRowHeight="14.5" x14ac:dyDescent="0.35"/>
  <cols>
    <col min="1" max="1" width="13" bestFit="1" customWidth="1"/>
    <col min="2" max="2" width="14.7265625" bestFit="1" customWidth="1"/>
    <col min="3" max="3" width="23.6328125" bestFit="1" customWidth="1"/>
    <col min="4" max="5" width="15.6328125" hidden="1" customWidth="1"/>
    <col min="6" max="6" width="10.36328125" bestFit="1" customWidth="1"/>
    <col min="8" max="8" width="0" hidden="1" customWidth="1"/>
  </cols>
  <sheetData>
    <row r="6" spans="2:9" x14ac:dyDescent="0.35">
      <c r="B6" s="3" t="s">
        <v>47</v>
      </c>
      <c r="C6" t="s">
        <v>49</v>
      </c>
    </row>
    <row r="7" spans="2:9" x14ac:dyDescent="0.35">
      <c r="B7" s="5" t="s">
        <v>20</v>
      </c>
      <c r="C7" s="6">
        <v>1383325</v>
      </c>
    </row>
    <row r="8" spans="2:9" x14ac:dyDescent="0.35">
      <c r="B8" s="5" t="s">
        <v>11</v>
      </c>
      <c r="C8" s="6">
        <v>304708</v>
      </c>
    </row>
    <row r="9" spans="2:9" x14ac:dyDescent="0.35">
      <c r="B9" s="5" t="s">
        <v>30</v>
      </c>
      <c r="C9" s="6">
        <v>286786</v>
      </c>
    </row>
    <row r="10" spans="2:9" x14ac:dyDescent="0.35">
      <c r="B10" s="5" t="s">
        <v>23</v>
      </c>
      <c r="C10" s="6">
        <v>29134</v>
      </c>
    </row>
    <row r="11" spans="2:9" x14ac:dyDescent="0.35">
      <c r="B11" s="5" t="s">
        <v>16</v>
      </c>
      <c r="C11" s="6">
        <v>20192</v>
      </c>
    </row>
    <row r="12" spans="2:9" x14ac:dyDescent="0.35">
      <c r="B12" s="5" t="s">
        <v>46</v>
      </c>
      <c r="C12" s="6">
        <v>2024145</v>
      </c>
    </row>
    <row r="15" spans="2:9" x14ac:dyDescent="0.35">
      <c r="B15" s="3" t="s">
        <v>47</v>
      </c>
      <c r="C15" t="s">
        <v>49</v>
      </c>
      <c r="D15" t="s">
        <v>48</v>
      </c>
      <c r="F15" s="4" t="s">
        <v>48</v>
      </c>
    </row>
    <row r="16" spans="2:9" x14ac:dyDescent="0.35">
      <c r="B16" s="5" t="s">
        <v>20</v>
      </c>
      <c r="C16" s="11">
        <v>1383325</v>
      </c>
      <c r="D16" s="7">
        <v>0.68341200852705708</v>
      </c>
      <c r="E16" s="9">
        <v>0.68341200852705708</v>
      </c>
      <c r="F16" s="9">
        <v>0.68</v>
      </c>
      <c r="G16" t="str">
        <f>IF(F16&lt;=0.7,"A",IF(F16&lt;=0.98,"B","C"))</f>
        <v>A</v>
      </c>
      <c r="H16" s="9"/>
      <c r="I16" s="10"/>
    </row>
    <row r="17" spans="2:9" x14ac:dyDescent="0.35">
      <c r="B17" s="5" t="s">
        <v>11</v>
      </c>
      <c r="C17" s="11">
        <v>304708</v>
      </c>
      <c r="D17" s="7">
        <v>0.1505366463370954</v>
      </c>
      <c r="E17" s="9">
        <v>0.1505366463370954</v>
      </c>
      <c r="F17" s="9">
        <f>F16+E17</f>
        <v>0.83053664633709545</v>
      </c>
      <c r="G17" t="str">
        <f t="shared" ref="G17:G20" si="0">IF(F17&lt;=0.7,"A",IF(F17&lt;=0.98,"B","C"))</f>
        <v>B</v>
      </c>
      <c r="H17" s="9"/>
      <c r="I17" s="10"/>
    </row>
    <row r="18" spans="2:9" x14ac:dyDescent="0.35">
      <c r="B18" s="5" t="s">
        <v>30</v>
      </c>
      <c r="C18" s="11">
        <v>286786</v>
      </c>
      <c r="D18" s="7">
        <v>0.1416825375652436</v>
      </c>
      <c r="E18" s="9">
        <v>0.1416825375652436</v>
      </c>
      <c r="F18" s="9">
        <f t="shared" ref="F18:F20" si="1">F17+E18</f>
        <v>0.97221918390233908</v>
      </c>
      <c r="G18" t="str">
        <f t="shared" si="0"/>
        <v>B</v>
      </c>
      <c r="H18" s="9"/>
      <c r="I18" s="10"/>
    </row>
    <row r="19" spans="2:9" x14ac:dyDescent="0.35">
      <c r="B19" s="5" t="s">
        <v>23</v>
      </c>
      <c r="C19" s="11">
        <v>29134</v>
      </c>
      <c r="D19" s="7">
        <v>1.4393237638607906E-2</v>
      </c>
      <c r="E19" s="9">
        <v>1.4393237638607906E-2</v>
      </c>
      <c r="F19" s="9">
        <f t="shared" si="1"/>
        <v>0.98661242154094697</v>
      </c>
      <c r="G19" t="str">
        <f t="shared" si="0"/>
        <v>C</v>
      </c>
      <c r="H19" s="9"/>
      <c r="I19" s="10"/>
    </row>
    <row r="20" spans="2:9" x14ac:dyDescent="0.35">
      <c r="B20" s="5" t="s">
        <v>16</v>
      </c>
      <c r="C20" s="11">
        <v>20192</v>
      </c>
      <c r="D20" s="7">
        <v>9.9755699319959788E-3</v>
      </c>
      <c r="E20" s="9">
        <v>9.9755699319959788E-3</v>
      </c>
      <c r="F20" s="9">
        <f t="shared" si="1"/>
        <v>0.99658799147294297</v>
      </c>
      <c r="G20" t="str">
        <f t="shared" si="0"/>
        <v>C</v>
      </c>
      <c r="H20" s="9"/>
      <c r="I20" s="10"/>
    </row>
    <row r="21" spans="2:9" x14ac:dyDescent="0.35">
      <c r="B21" s="5" t="s">
        <v>46</v>
      </c>
      <c r="C21" s="11">
        <v>2024145</v>
      </c>
      <c r="D21" s="7">
        <v>1</v>
      </c>
      <c r="F21" s="8"/>
    </row>
  </sheetData>
  <conditionalFormatting sqref="G16:G20">
    <cfRule type="expression" dxfId="4" priority="4">
      <formula>$G16="B"</formula>
    </cfRule>
    <cfRule type="expression" dxfId="3" priority="5">
      <formula>$G16="A"</formula>
    </cfRule>
  </conditionalFormatting>
  <conditionalFormatting sqref="G16:G20">
    <cfRule type="expression" dxfId="2" priority="6">
      <formula>$G16="C"</formula>
    </cfRule>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F219AE-95BC-4021-B81F-2050D357CE1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Spend Analysis Dataset </vt:lpstr>
      <vt:lpstr>Pivot-Tabellen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A'Rahim Diallo</dc:creator>
  <cp:lastModifiedBy>Abdourahimi DialloDiallo</cp:lastModifiedBy>
  <dcterms:created xsi:type="dcterms:W3CDTF">2026-09-01T17:05:28Z</dcterms:created>
  <dcterms:modified xsi:type="dcterms:W3CDTF">2026-09-01T17:53:28Z</dcterms:modified>
</cp:coreProperties>
</file>